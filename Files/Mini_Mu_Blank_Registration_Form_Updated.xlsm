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Sheet1" sheetId="1" r:id="rId5"/>
    <sheet state="visible" name="Sheet2" sheetId="2" r:id="rId6"/>
  </sheets>
  <definedNames>
    <definedName name="Pizza">Sheet1!$E$45:$E$194</definedName>
    <definedName name="Shirts">Sheet1!$F$45:$F$194</definedName>
    <definedName name="Category">Sheet1!$Q$7:$Q$13</definedName>
  </definedNames>
  <calcPr/>
  <extLst>
    <ext uri="GoogleSheetsCustomDataVersion2">
      <go:sheetsCustomData xmlns:go="http://customooxmlschemas.google.com/" r:id="rId7" roundtripDataChecksum="/UNWjztXO/wUcYnIJBhJoD7L3WbvS5ZdfDQv5Du3cWA="/>
    </ext>
  </extLst>
</workbook>
</file>

<file path=xl/sharedStrings.xml><?xml version="1.0" encoding="utf-8"?>
<sst xmlns="http://schemas.openxmlformats.org/spreadsheetml/2006/main" count="140" uniqueCount="135">
  <si>
    <t xml:space="preserve">SCHOOL NAME : </t>
  </si>
  <si>
    <t>Enter School Name Here</t>
  </si>
  <si>
    <t>Instructions:  Scroll down, use the drop down menu to fill out your schools registration</t>
  </si>
  <si>
    <t>Select file --&gt; print to print with children's names.  For just a summary use print page 1 to 1</t>
  </si>
  <si>
    <r>
      <rPr>
        <rFont val="Georgia"/>
        <b/>
        <color theme="1"/>
        <sz val="11.0"/>
      </rPr>
      <t xml:space="preserve">Email your completed spreadsheet to </t>
    </r>
    <r>
      <rPr>
        <rFont val="Georgia"/>
        <b/>
        <color rgb="FFFF0000"/>
        <sz val="11.0"/>
      </rPr>
      <t>lawtonchilesmao1@gmail.com</t>
    </r>
  </si>
  <si>
    <t>Do not fill out the grayed area.  It will autofill as you enter your information</t>
  </si>
  <si>
    <t>Cost of the math tests</t>
  </si>
  <si>
    <t xml:space="preserve">       Mail Check to </t>
  </si>
  <si>
    <t>Cost of T-Shirts</t>
  </si>
  <si>
    <t xml:space="preserve">       Chiles High School</t>
  </si>
  <si>
    <t xml:space="preserve">       Attn: Mark Hallett</t>
  </si>
  <si>
    <t xml:space="preserve">       7200 Lawton Chiles Lane</t>
  </si>
  <si>
    <t xml:space="preserve">       Tallahassee, FL 32312</t>
  </si>
  <si>
    <t>Total Cost:</t>
  </si>
  <si>
    <t xml:space="preserve">       Make a check out to Chiles High School </t>
  </si>
  <si>
    <t>Total Chaperones</t>
  </si>
  <si>
    <t>Total   Students</t>
  </si>
  <si>
    <t>Students Taking Tests ($15)</t>
  </si>
  <si>
    <t>Number of T-shirts ($12)</t>
  </si>
  <si>
    <t>Division Totals</t>
  </si>
  <si>
    <t>4th Grade students</t>
  </si>
  <si>
    <t>5th Grade Students</t>
  </si>
  <si>
    <t>Pre-Algebra</t>
  </si>
  <si>
    <t>Algebra</t>
  </si>
  <si>
    <t>Geometry</t>
  </si>
  <si>
    <t>Total Tests</t>
  </si>
  <si>
    <t>Lunch</t>
  </si>
  <si>
    <t>Pizza Cheese</t>
  </si>
  <si>
    <t>Pizza Pep.</t>
  </si>
  <si>
    <t>Pizza P &amp; S</t>
  </si>
  <si>
    <t>Shirts</t>
  </si>
  <si>
    <t>Y small</t>
  </si>
  <si>
    <t>Y medium</t>
  </si>
  <si>
    <t>Y large</t>
  </si>
  <si>
    <t>Y XL</t>
  </si>
  <si>
    <t>A small</t>
  </si>
  <si>
    <t>A medium</t>
  </si>
  <si>
    <t>A large</t>
  </si>
  <si>
    <t>A XL</t>
  </si>
  <si>
    <r>
      <rPr>
        <rFont val="Georgia"/>
        <b/>
        <color theme="1"/>
        <sz val="10.0"/>
      </rPr>
      <t xml:space="preserve">A </t>
    </r>
    <r>
      <rPr>
        <rFont val="Georgia"/>
        <b/>
        <color theme="1"/>
        <sz val="12.0"/>
      </rPr>
      <t>2</t>
    </r>
    <r>
      <rPr>
        <rFont val="Georgia"/>
        <b/>
        <color theme="1"/>
        <sz val="10.0"/>
      </rPr>
      <t>XL</t>
    </r>
  </si>
  <si>
    <t>Chaperones</t>
  </si>
  <si>
    <t>First Name</t>
  </si>
  <si>
    <t>Last Name</t>
  </si>
  <si>
    <t>Shirt ($12 extra)</t>
  </si>
  <si>
    <t>Jane</t>
  </si>
  <si>
    <t>Doe</t>
  </si>
  <si>
    <t>STUDENTS</t>
  </si>
  <si>
    <t>#</t>
  </si>
  <si>
    <t>FIRST NAME</t>
  </si>
  <si>
    <t>LAST NAME</t>
  </si>
  <si>
    <t>DIVISION</t>
  </si>
  <si>
    <t>LUNCH</t>
  </si>
  <si>
    <t>SHIRT (EXTRA $12)</t>
  </si>
  <si>
    <t>Johnny</t>
  </si>
  <si>
    <t>Prealgebra</t>
  </si>
  <si>
    <t>Youth Small</t>
  </si>
  <si>
    <t>Enter School  ID Number</t>
  </si>
  <si>
    <t>copy paste special (values) below line onto the  master registration sheet</t>
  </si>
  <si>
    <t>SCHOOL</t>
  </si>
  <si>
    <t>ID#</t>
  </si>
  <si>
    <t>TOTAL</t>
  </si>
  <si>
    <t>ELEM</t>
  </si>
  <si>
    <t>PREAL</t>
  </si>
  <si>
    <t>ALG1</t>
  </si>
  <si>
    <t>GEOM</t>
  </si>
  <si>
    <t>Cheese</t>
  </si>
  <si>
    <t>Pepp</t>
  </si>
  <si>
    <t>P&amp;S</t>
  </si>
  <si>
    <t>YS</t>
  </si>
  <si>
    <t>YM</t>
  </si>
  <si>
    <t>YL</t>
  </si>
  <si>
    <t>YXL</t>
  </si>
  <si>
    <t>AS</t>
  </si>
  <si>
    <t>AM</t>
  </si>
  <si>
    <t>AL</t>
  </si>
  <si>
    <t>AXL</t>
  </si>
  <si>
    <t>2XL</t>
  </si>
  <si>
    <t>OWED</t>
  </si>
  <si>
    <t>PAID</t>
  </si>
  <si>
    <t>Copy below to student merge file use paste special</t>
  </si>
  <si>
    <t>ID NUMBERS</t>
  </si>
  <si>
    <t>ID number</t>
  </si>
  <si>
    <t>First</t>
  </si>
  <si>
    <t>Last</t>
  </si>
  <si>
    <t>School</t>
  </si>
  <si>
    <t>Division</t>
  </si>
  <si>
    <t>Apalachee Elementary</t>
  </si>
  <si>
    <t>Astoria Park Elementary</t>
  </si>
  <si>
    <t>Buck Lake Elementary</t>
  </si>
  <si>
    <t>Canopy Oaks Elementary</t>
  </si>
  <si>
    <t>Chaires Elementary</t>
  </si>
  <si>
    <t>Christ Classical Academy</t>
  </si>
  <si>
    <t>Cobb Middle School</t>
  </si>
  <si>
    <t>Community Christian School</t>
  </si>
  <si>
    <t>Community Leadership Academy</t>
  </si>
  <si>
    <t>Conley Elementary</t>
  </si>
  <si>
    <t>Cornerstone Learning Community</t>
  </si>
  <si>
    <t>Deerlake Middle School</t>
  </si>
  <si>
    <t>DeSoto Trail Elementary</t>
  </si>
  <si>
    <t>Fairview Middle School</t>
  </si>
  <si>
    <t>Fort Braden</t>
  </si>
  <si>
    <t>Fort Clarke Middle School</t>
  </si>
  <si>
    <t>FSUS</t>
  </si>
  <si>
    <t>Gilchrist Elementary</t>
  </si>
  <si>
    <t>Governor's Charter Academy</t>
  </si>
  <si>
    <t>Griffin Middle School</t>
  </si>
  <si>
    <t>Hartsfield Elementary</t>
  </si>
  <si>
    <t>Hawks Rise Elementary</t>
  </si>
  <si>
    <t>Homeschool</t>
  </si>
  <si>
    <t>Howard Bishop Middle School</t>
  </si>
  <si>
    <t>Individual</t>
  </si>
  <si>
    <t>Jacksonville</t>
  </si>
  <si>
    <t>Kanapaha Middle School</t>
  </si>
  <si>
    <t>Kate Sullivan Elementary</t>
  </si>
  <si>
    <t>Killearn Lakes Elementary</t>
  </si>
  <si>
    <t>Lincoln Middle School</t>
  </si>
  <si>
    <t>Maclay School</t>
  </si>
  <si>
    <t>Midtown Classical</t>
  </si>
  <si>
    <t>Montford Middle School</t>
  </si>
  <si>
    <t>Nims Middle School</t>
  </si>
  <si>
    <t>Pace</t>
  </si>
  <si>
    <t>Raa Middle School</t>
  </si>
  <si>
    <t>Roberts Elementary</t>
  </si>
  <si>
    <t>Ruediger Elementary</t>
  </si>
  <si>
    <t>Sabal Palm Elementary</t>
  </si>
  <si>
    <t>School of Arts and Sciences (Centre)</t>
  </si>
  <si>
    <t>School of Arts and Sciences (Thomasville Rd)</t>
  </si>
  <si>
    <t>Sealey Elementary</t>
  </si>
  <si>
    <t>Stars Middle School</t>
  </si>
  <si>
    <t>Swift Creek Middle School</t>
  </si>
  <si>
    <t>Tallahassee School of Math and Science</t>
  </si>
  <si>
    <t>W.T. Moore Elementary</t>
  </si>
  <si>
    <t>Westwood Elementary</t>
  </si>
  <si>
    <t>Williams Elementary School</t>
  </si>
  <si>
    <t>Woodville Charter Middle School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</si>
</sst>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&quot;$&quot;#,##0.00"/>
    <numFmt numFmtId="165" formatCode="##0"/>
  </numFmts>
  <fonts count="14">
    <font>
      <sz val="11.0"/>
      <color theme="1"/>
      <name val="Calibri"/>
      <scheme val="minor"/>
    </font>
    <font>
      <b/>
      <sz val="16.0"/>
      <color theme="1"/>
      <name val="Georgia"/>
    </font>
    <font>
      <sz val="11.0"/>
      <color theme="1"/>
      <name val="Calibri"/>
    </font>
    <font>
      <b/>
      <sz val="12.0"/>
      <color theme="1"/>
      <name val="Georgia"/>
    </font>
    <font>
      <b/>
      <sz val="11.0"/>
      <color theme="1"/>
      <name val="Georgia"/>
    </font>
    <font>
      <b/>
      <u/>
      <sz val="14.0"/>
      <color theme="1"/>
      <name val="Georgia"/>
    </font>
    <font>
      <sz val="10.0"/>
      <color theme="1"/>
      <name val="Georgia"/>
    </font>
    <font>
      <b/>
      <sz val="10.0"/>
      <color theme="1"/>
      <name val="Georgia"/>
    </font>
    <font>
      <sz val="12.0"/>
      <color theme="1"/>
      <name val="Calibri"/>
    </font>
    <font>
      <b/>
      <sz val="10.0"/>
      <color rgb="FF0000FF"/>
      <name val="Georgia"/>
    </font>
    <font>
      <b/>
      <sz val="10.0"/>
      <color rgb="FFC00000"/>
      <name val="Georgia"/>
    </font>
    <font>
      <sz val="12.0"/>
      <color rgb="FF000000"/>
      <name val="Calibri"/>
    </font>
    <font>
      <color theme="1"/>
      <name val="Calibri"/>
      <scheme val="minor"/>
    </font>
    <font/>
  </fonts>
  <fills count="7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  <fill>
      <patternFill patternType="solid">
        <fgColor rgb="FFECECEC"/>
        <bgColor rgb="FFECECEC"/>
      </patternFill>
    </fill>
    <fill>
      <patternFill patternType="solid">
        <fgColor rgb="FFF2F2F2"/>
        <bgColor rgb="FFF2F2F2"/>
      </patternFill>
    </fill>
    <fill>
      <patternFill patternType="solid">
        <fgColor rgb="FFD0CECE"/>
        <bgColor rgb="FFD0CECE"/>
      </patternFill>
    </fill>
    <fill>
      <patternFill patternType="solid">
        <fgColor rgb="FFD8D8D8"/>
        <bgColor rgb="FFD8D8D8"/>
      </patternFill>
    </fill>
  </fills>
  <borders count="71">
    <border/>
    <border>
      <left/>
      <right/>
      <top/>
      <bottom style="medium">
        <color rgb="FF000000"/>
      </bottom>
    </border>
    <border>
      <bottom style="medium">
        <color rgb="FF000000"/>
      </bottom>
    </border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  <right/>
      <top/>
      <bottom/>
    </border>
    <border>
      <left/>
      <right/>
      <top/>
      <bottom/>
    </border>
    <border>
      <left/>
      <right style="medium">
        <color rgb="FF000000"/>
      </right>
      <top/>
      <bottom/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 style="medium">
        <color rgb="FF000000"/>
      </left>
      <right/>
      <top style="medium">
        <color rgb="FF000000"/>
      </top>
      <bottom style="thin">
        <color rgb="FF000000"/>
      </bottom>
    </border>
    <border>
      <left/>
      <right/>
      <top style="medium">
        <color rgb="FF000000"/>
      </top>
      <bottom style="thin">
        <color rgb="FF000000"/>
      </bottom>
    </border>
    <border>
      <left/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/>
      <top style="thin">
        <color rgb="FF000000"/>
      </top>
      <bottom style="medium">
        <color rgb="FF000000"/>
      </bottom>
    </border>
    <border>
      <left/>
      <right/>
      <top style="thin">
        <color rgb="FF000000"/>
      </top>
      <bottom style="medium">
        <color rgb="FF000000"/>
      </bottom>
    </border>
    <border>
      <left/>
      <right style="medium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</border>
    <border>
      <left style="thin">
        <color rgb="FF000000"/>
      </left>
      <top style="medium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</border>
    <border>
      <left style="thin">
        <color rgb="FF000000"/>
      </left>
      <top style="dotted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  <border>
      <right style="dotted">
        <color rgb="FF000000"/>
      </right>
      <bottom style="dotted">
        <color rgb="FF000000"/>
      </bottom>
    </border>
    <border>
      <left style="dotted">
        <color rgb="FF000000"/>
      </left>
      <bottom style="dotted">
        <color rgb="FF000000"/>
      </bottom>
    </border>
    <border>
      <left style="medium">
        <color rgb="FF000000"/>
      </left>
      <right style="medium">
        <color rgb="FF000000"/>
      </right>
      <bottom style="dotted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dotted">
        <color rgb="FF000000"/>
      </bottom>
    </border>
    <border>
      <right style="dotted">
        <color rgb="FF000000"/>
      </right>
      <top style="dotted">
        <color rgb="FF000000"/>
      </top>
      <bottom style="dotted">
        <color rgb="FF000000"/>
      </bottom>
    </border>
    <border>
      <left style="dotted">
        <color rgb="FF000000"/>
      </left>
      <top style="dotted">
        <color rgb="FF000000"/>
      </top>
      <bottom style="dotted">
        <color rgb="FF000000"/>
      </bottom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</border>
    <border>
      <right style="dotted">
        <color rgb="FF000000"/>
      </right>
      <top style="dotted">
        <color rgb="FF000000"/>
      </top>
    </border>
    <border>
      <left style="dotted">
        <color rgb="FF000000"/>
      </left>
      <top style="dotted">
        <color rgb="FF000000"/>
      </top>
    </border>
    <border>
      <left style="medium">
        <color rgb="FF000000"/>
      </left>
      <right style="medium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medium">
        <color rgb="FF000000"/>
      </bottom>
    </border>
    <border>
      <right style="dotted">
        <color rgb="FF000000"/>
      </right>
      <top style="dotted">
        <color rgb="FF000000"/>
      </top>
      <bottom style="medium">
        <color rgb="FF000000"/>
      </bottom>
    </border>
    <border>
      <left style="dotted">
        <color rgb="FF000000"/>
      </left>
      <top style="dotted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dotted">
        <color rgb="FF000000"/>
      </top>
      <bottom style="medium">
        <color rgb="FF000000"/>
      </bottom>
    </border>
    <border>
      <left style="medium">
        <color rgb="FF000000"/>
      </left>
      <bottom style="medium">
        <color rgb="FF000000"/>
      </bottom>
    </border>
    <border>
      <left style="medium">
        <color rgb="FF000000"/>
      </left>
      <right style="medium">
        <color rgb="FF000000"/>
      </right>
      <bottom style="medium">
        <color rgb="FF0000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top style="medium">
        <color rgb="FF000000"/>
      </top>
      <bottom style="hair">
        <color rgb="FF000000"/>
      </bottom>
    </border>
    <border>
      <top style="medium">
        <color rgb="FF000000"/>
      </top>
      <bottom style="hair">
        <color rgb="FF000000"/>
      </bottom>
    </border>
    <border>
      <right style="medium">
        <color rgb="FF000000"/>
      </right>
      <top style="medium">
        <color rgb="FF000000"/>
      </top>
      <bottom style="hair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hair">
        <color rgb="FF000000"/>
      </top>
      <bottom style="hair">
        <color rgb="FF000000"/>
      </bottom>
    </border>
    <border>
      <top style="hair">
        <color rgb="FF000000"/>
      </top>
      <bottom style="hair">
        <color rgb="FF000000"/>
      </bottom>
    </border>
    <border>
      <right style="medium">
        <color rgb="FF000000"/>
      </right>
      <top style="hair">
        <color rgb="FF000000"/>
      </top>
      <bottom style="hair">
        <color rgb="FF000000"/>
      </bottom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</border>
    <border>
      <left style="medium">
        <color rgb="FF000000"/>
      </left>
      <top style="hair">
        <color rgb="FF000000"/>
      </top>
      <bottom style="medium">
        <color rgb="FF000000"/>
      </bottom>
    </border>
    <border>
      <top style="hair">
        <color rgb="FF000000"/>
      </top>
      <bottom style="medium">
        <color rgb="FF000000"/>
      </bottom>
    </border>
    <border>
      <right style="medium">
        <color rgb="FF000000"/>
      </right>
      <top style="hair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</border>
  </borders>
  <cellStyleXfs count="1">
    <xf borderId="0" fillId="0" fontId="0" numFmtId="0" applyAlignment="1" applyFont="1"/>
  </cellStyleXfs>
  <cellXfs count="108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left"/>
    </xf>
    <xf borderId="1" fillId="2" fontId="1" numFmtId="0" xfId="0" applyAlignment="1" applyBorder="1" applyFill="1" applyFont="1">
      <alignment horizontal="left"/>
    </xf>
    <xf borderId="1" fillId="2" fontId="2" numFmtId="0" xfId="0" applyBorder="1" applyFont="1"/>
    <xf borderId="2" fillId="0" fontId="2" numFmtId="0" xfId="0" applyBorder="1" applyFont="1"/>
    <xf borderId="0" fillId="0" fontId="3" numFmtId="0" xfId="0" applyFont="1"/>
    <xf borderId="0" fillId="0" fontId="4" numFmtId="0" xfId="0" applyFont="1"/>
    <xf borderId="0" fillId="0" fontId="4" numFmtId="0" xfId="0" applyAlignment="1" applyFont="1">
      <alignment readingOrder="0"/>
    </xf>
    <xf borderId="3" fillId="3" fontId="5" numFmtId="0" xfId="0" applyBorder="1" applyFill="1" applyFont="1"/>
    <xf borderId="4" fillId="3" fontId="3" numFmtId="0" xfId="0" applyBorder="1" applyFont="1"/>
    <xf borderId="5" fillId="3" fontId="3" numFmtId="0" xfId="0" applyBorder="1" applyFont="1"/>
    <xf borderId="6" fillId="3" fontId="1" numFmtId="0" xfId="0" applyBorder="1" applyFont="1"/>
    <xf borderId="7" fillId="3" fontId="6" numFmtId="0" xfId="0" applyBorder="1" applyFont="1"/>
    <xf borderId="7" fillId="3" fontId="6" numFmtId="164" xfId="0" applyAlignment="1" applyBorder="1" applyFont="1" applyNumberFormat="1">
      <alignment horizontal="right"/>
    </xf>
    <xf borderId="7" fillId="3" fontId="3" numFmtId="0" xfId="0" applyBorder="1" applyFont="1"/>
    <xf borderId="8" fillId="3" fontId="3" numFmtId="0" xfId="0" applyBorder="1" applyFont="1"/>
    <xf borderId="7" fillId="3" fontId="3" numFmtId="0" xfId="0" applyAlignment="1" applyBorder="1" applyFont="1">
      <alignment readingOrder="0"/>
    </xf>
    <xf borderId="7" fillId="3" fontId="3" numFmtId="0" xfId="0" applyAlignment="1" applyBorder="1" applyFont="1">
      <alignment horizontal="right"/>
    </xf>
    <xf borderId="7" fillId="3" fontId="3" numFmtId="164" xfId="0" applyAlignment="1" applyBorder="1" applyFont="1" applyNumberFormat="1">
      <alignment horizontal="right"/>
    </xf>
    <xf borderId="9" fillId="0" fontId="4" numFmtId="0" xfId="0" applyBorder="1" applyFont="1"/>
    <xf borderId="10" fillId="0" fontId="3" numFmtId="0" xfId="0" applyBorder="1" applyFont="1"/>
    <xf borderId="6" fillId="4" fontId="7" numFmtId="0" xfId="0" applyBorder="1" applyFill="1" applyFont="1"/>
    <xf borderId="7" fillId="4" fontId="7" numFmtId="0" xfId="0" applyBorder="1" applyFont="1"/>
    <xf borderId="8" fillId="4" fontId="7" numFmtId="0" xfId="0" applyBorder="1" applyFont="1"/>
    <xf borderId="7" fillId="4" fontId="7" numFmtId="0" xfId="0" applyAlignment="1" applyBorder="1" applyFont="1">
      <alignment horizontal="left"/>
    </xf>
    <xf borderId="7" fillId="4" fontId="7" numFmtId="0" xfId="0" applyAlignment="1" applyBorder="1" applyFont="1">
      <alignment horizontal="right" readingOrder="0"/>
    </xf>
    <xf borderId="7" fillId="4" fontId="7" numFmtId="0" xfId="0" applyAlignment="1" applyBorder="1" applyFont="1">
      <alignment horizontal="right"/>
    </xf>
    <xf borderId="7" fillId="4" fontId="7" numFmtId="0" xfId="0" applyAlignment="1" applyBorder="1" applyFont="1">
      <alignment horizontal="center"/>
    </xf>
    <xf borderId="8" fillId="4" fontId="7" numFmtId="0" xfId="0" applyAlignment="1" applyBorder="1" applyFont="1">
      <alignment horizontal="center"/>
    </xf>
    <xf borderId="11" fillId="4" fontId="7" numFmtId="0" xfId="0" applyBorder="1" applyFont="1"/>
    <xf borderId="1" fillId="4" fontId="7" numFmtId="0" xfId="0" applyAlignment="1" applyBorder="1" applyFont="1">
      <alignment horizontal="center"/>
    </xf>
    <xf borderId="12" fillId="4" fontId="7" numFmtId="0" xfId="0" applyAlignment="1" applyBorder="1" applyFont="1">
      <alignment horizontal="center"/>
    </xf>
    <xf borderId="13" fillId="5" fontId="4" numFmtId="0" xfId="0" applyBorder="1" applyFill="1" applyFont="1"/>
    <xf borderId="14" fillId="5" fontId="3" numFmtId="0" xfId="0" applyBorder="1" applyFont="1"/>
    <xf borderId="15" fillId="5" fontId="3" numFmtId="0" xfId="0" applyBorder="1" applyFont="1"/>
    <xf borderId="16" fillId="5" fontId="4" numFmtId="0" xfId="0" applyBorder="1" applyFont="1"/>
    <xf borderId="17" fillId="5" fontId="3" numFmtId="0" xfId="0" applyBorder="1" applyFont="1"/>
    <xf borderId="18" fillId="5" fontId="3" numFmtId="0" xfId="0" applyBorder="1" applyFont="1"/>
    <xf borderId="19" fillId="0" fontId="7" numFmtId="0" xfId="0" applyBorder="1" applyFont="1"/>
    <xf borderId="20" fillId="0" fontId="7" numFmtId="0" xfId="0" applyBorder="1" applyFont="1"/>
    <xf borderId="21" fillId="0" fontId="7" numFmtId="0" xfId="0" applyBorder="1" applyFont="1"/>
    <xf borderId="22" fillId="0" fontId="7" numFmtId="0" xfId="0" applyBorder="1" applyFont="1"/>
    <xf borderId="23" fillId="0" fontId="7" numFmtId="0" xfId="0" applyBorder="1" applyFont="1"/>
    <xf borderId="24" fillId="0" fontId="7" numFmtId="0" xfId="0" applyBorder="1" applyFont="1"/>
    <xf borderId="0" fillId="0" fontId="1" numFmtId="0" xfId="0" applyFont="1"/>
    <xf borderId="4" fillId="6" fontId="7" numFmtId="0" xfId="0" applyBorder="1" applyFill="1" applyFont="1"/>
    <xf borderId="25" fillId="0" fontId="3" numFmtId="0" xfId="0" applyAlignment="1" applyBorder="1" applyFont="1">
      <alignment horizontal="center"/>
    </xf>
    <xf borderId="26" fillId="0" fontId="3" numFmtId="0" xfId="0" applyBorder="1" applyFont="1"/>
    <xf borderId="27" fillId="0" fontId="3" numFmtId="0" xfId="0" applyBorder="1" applyFont="1"/>
    <xf borderId="28" fillId="0" fontId="3" numFmtId="0" xfId="0" applyAlignment="1" applyBorder="1" applyFont="1">
      <alignment horizontal="center"/>
    </xf>
    <xf borderId="29" fillId="0" fontId="3" numFmtId="0" xfId="0" applyAlignment="1" applyBorder="1" applyFont="1">
      <alignment horizontal="center"/>
    </xf>
    <xf borderId="0" fillId="0" fontId="8" numFmtId="0" xfId="0" applyFont="1"/>
    <xf borderId="30" fillId="0" fontId="7" numFmtId="0" xfId="0" applyAlignment="1" applyBorder="1" applyFont="1">
      <alignment horizontal="center"/>
    </xf>
    <xf borderId="31" fillId="0" fontId="9" numFmtId="0" xfId="0" applyBorder="1" applyFont="1"/>
    <xf borderId="32" fillId="0" fontId="9" numFmtId="0" xfId="0" applyBorder="1" applyFont="1"/>
    <xf borderId="33" fillId="0" fontId="10" numFmtId="49" xfId="0" applyAlignment="1" applyBorder="1" applyFont="1" applyNumberFormat="1">
      <alignment horizontal="center"/>
    </xf>
    <xf borderId="34" fillId="0" fontId="7" numFmtId="0" xfId="0" applyBorder="1" applyFont="1"/>
    <xf borderId="21" fillId="0" fontId="7" numFmtId="0" xfId="0" applyAlignment="1" applyBorder="1" applyFont="1">
      <alignment horizontal="center"/>
    </xf>
    <xf borderId="35" fillId="0" fontId="9" numFmtId="0" xfId="0" applyAlignment="1" applyBorder="1" applyFont="1">
      <alignment readingOrder="0"/>
    </xf>
    <xf borderId="36" fillId="0" fontId="9" numFmtId="0" xfId="0" applyAlignment="1" applyBorder="1" applyFont="1">
      <alignment readingOrder="0"/>
    </xf>
    <xf borderId="33" fillId="0" fontId="10" numFmtId="49" xfId="0" applyAlignment="1" applyBorder="1" applyFont="1" applyNumberFormat="1">
      <alignment horizontal="center" readingOrder="0"/>
    </xf>
    <xf borderId="37" fillId="0" fontId="7" numFmtId="0" xfId="0" applyAlignment="1" applyBorder="1" applyFont="1">
      <alignment readingOrder="0"/>
    </xf>
    <xf borderId="35" fillId="0" fontId="9" numFmtId="0" xfId="0" applyBorder="1" applyFont="1"/>
    <xf borderId="36" fillId="0" fontId="9" numFmtId="0" xfId="0" applyBorder="1" applyFont="1"/>
    <xf borderId="37" fillId="0" fontId="7" numFmtId="0" xfId="0" applyBorder="1" applyFont="1"/>
    <xf borderId="0" fillId="0" fontId="11" numFmtId="0" xfId="0" applyFont="1"/>
    <xf borderId="37" fillId="0" fontId="10" numFmtId="49" xfId="0" applyAlignment="1" applyBorder="1" applyFont="1" applyNumberFormat="1">
      <alignment horizontal="center"/>
    </xf>
    <xf borderId="38" fillId="0" fontId="9" numFmtId="0" xfId="0" applyBorder="1" applyFont="1"/>
    <xf borderId="39" fillId="0" fontId="9" numFmtId="0" xfId="0" applyBorder="1" applyFont="1"/>
    <xf borderId="40" fillId="0" fontId="10" numFmtId="49" xfId="0" applyAlignment="1" applyBorder="1" applyFont="1" applyNumberFormat="1">
      <alignment horizontal="center"/>
    </xf>
    <xf borderId="41" fillId="0" fontId="7" numFmtId="0" xfId="0" applyAlignment="1" applyBorder="1" applyFont="1">
      <alignment horizontal="center"/>
    </xf>
    <xf borderId="42" fillId="0" fontId="9" numFmtId="0" xfId="0" applyBorder="1" applyFont="1"/>
    <xf borderId="43" fillId="0" fontId="9" numFmtId="0" xfId="0" applyBorder="1" applyFont="1"/>
    <xf borderId="44" fillId="0" fontId="10" numFmtId="49" xfId="0" applyAlignment="1" applyBorder="1" applyFont="1" applyNumberFormat="1">
      <alignment horizontal="center"/>
    </xf>
    <xf borderId="45" fillId="0" fontId="7" numFmtId="0" xfId="0" applyBorder="1" applyFont="1"/>
    <xf borderId="46" fillId="0" fontId="7" numFmtId="0" xfId="0" applyBorder="1" applyFont="1"/>
    <xf borderId="2" fillId="0" fontId="3" numFmtId="0" xfId="0" applyBorder="1" applyFont="1"/>
    <xf borderId="0" fillId="0" fontId="12" numFmtId="0" xfId="0" applyFont="1"/>
    <xf borderId="28" fillId="2" fontId="2" numFmtId="0" xfId="0" applyBorder="1" applyFont="1"/>
    <xf borderId="47" fillId="0" fontId="6" numFmtId="0" xfId="0" applyAlignment="1" applyBorder="1" applyFont="1">
      <alignment horizontal="center"/>
    </xf>
    <xf borderId="48" fillId="0" fontId="6" numFmtId="0" xfId="0" applyBorder="1" applyFont="1"/>
    <xf borderId="48" fillId="0" fontId="6" numFmtId="0" xfId="0" applyAlignment="1" applyBorder="1" applyFont="1">
      <alignment horizontal="center"/>
    </xf>
    <xf borderId="49" fillId="0" fontId="6" numFmtId="0" xfId="0" applyAlignment="1" applyBorder="1" applyFont="1">
      <alignment horizontal="center"/>
    </xf>
    <xf borderId="50" fillId="0" fontId="6" numFmtId="0" xfId="0" applyAlignment="1" applyBorder="1" applyFont="1">
      <alignment horizontal="center"/>
    </xf>
    <xf borderId="51" fillId="0" fontId="6" numFmtId="0" xfId="0" applyAlignment="1" applyBorder="1" applyFont="1">
      <alignment horizontal="center"/>
    </xf>
    <xf borderId="52" fillId="0" fontId="6" numFmtId="0" xfId="0" applyAlignment="1" applyBorder="1" applyFont="1">
      <alignment horizontal="center"/>
    </xf>
    <xf borderId="0" fillId="0" fontId="12" numFmtId="49" xfId="0" applyFont="1" applyNumberFormat="1"/>
    <xf borderId="0" fillId="0" fontId="12" numFmtId="164" xfId="0" applyFont="1" applyNumberFormat="1"/>
    <xf borderId="53" fillId="0" fontId="3" numFmtId="0" xfId="0" applyAlignment="1" applyBorder="1" applyFont="1">
      <alignment horizontal="center"/>
    </xf>
    <xf borderId="54" fillId="0" fontId="13" numFmtId="0" xfId="0" applyBorder="1" applyFont="1"/>
    <xf borderId="55" fillId="0" fontId="4" numFmtId="0" xfId="0" applyAlignment="1" applyBorder="1" applyFont="1">
      <alignment horizontal="left"/>
    </xf>
    <xf borderId="56" fillId="0" fontId="13" numFmtId="0" xfId="0" applyBorder="1" applyFont="1"/>
    <xf borderId="57" fillId="0" fontId="13" numFmtId="0" xfId="0" applyBorder="1" applyFont="1"/>
    <xf borderId="58" fillId="0" fontId="4" numFmtId="0" xfId="0" applyAlignment="1" applyBorder="1" applyFont="1">
      <alignment horizontal="center"/>
    </xf>
    <xf borderId="59" fillId="0" fontId="2" numFmtId="0" xfId="0" applyBorder="1" applyFont="1"/>
    <xf borderId="0" fillId="0" fontId="2" numFmtId="49" xfId="0" applyFont="1" applyNumberFormat="1"/>
    <xf borderId="0" fillId="0" fontId="2" numFmtId="165" xfId="0" applyFont="1" applyNumberFormat="1"/>
    <xf borderId="60" fillId="0" fontId="4" numFmtId="0" xfId="0" applyAlignment="1" applyBorder="1" applyFont="1">
      <alignment horizontal="left"/>
    </xf>
    <xf borderId="61" fillId="0" fontId="13" numFmtId="0" xfId="0" applyBorder="1" applyFont="1"/>
    <xf borderId="62" fillId="0" fontId="13" numFmtId="0" xfId="0" applyBorder="1" applyFont="1"/>
    <xf borderId="63" fillId="0" fontId="4" numFmtId="0" xfId="0" applyAlignment="1" applyBorder="1" applyFont="1">
      <alignment horizontal="center"/>
    </xf>
    <xf borderId="64" fillId="0" fontId="4" numFmtId="0" xfId="0" applyAlignment="1" applyBorder="1" applyFont="1">
      <alignment horizontal="left"/>
    </xf>
    <xf borderId="65" fillId="0" fontId="4" numFmtId="0" xfId="0" applyAlignment="1" applyBorder="1" applyFont="1">
      <alignment horizontal="left"/>
    </xf>
    <xf borderId="66" fillId="0" fontId="4" numFmtId="0" xfId="0" applyAlignment="1" applyBorder="1" applyFont="1">
      <alignment horizontal="left"/>
    </xf>
    <xf borderId="67" fillId="0" fontId="4" numFmtId="0" xfId="0" applyAlignment="1" applyBorder="1" applyFont="1">
      <alignment horizontal="left"/>
    </xf>
    <xf borderId="68" fillId="0" fontId="13" numFmtId="0" xfId="0" applyBorder="1" applyFont="1"/>
    <xf borderId="69" fillId="0" fontId="13" numFmtId="0" xfId="0" applyBorder="1" applyFont="1"/>
    <xf borderId="70" fillId="0" fontId="4" numFmtId="0" xfId="0" applyAlignment="1" applyBorder="1" applyFont="1">
      <alignment horizont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workbookViewId="0"/>
  </sheetViews>
  <sheetFormatPr customHeight="1" defaultColWidth="14.43" defaultRowHeight="15.0"/>
  <cols>
    <col customWidth="1" min="1" max="1" width="8.43"/>
    <col customWidth="1" min="2" max="2" width="21.43"/>
    <col customWidth="1" min="3" max="3" width="19.71"/>
    <col customWidth="1" min="4" max="4" width="17.14"/>
    <col customWidth="1" min="5" max="5" width="26.29"/>
    <col customWidth="1" min="6" max="6" width="27.71"/>
    <col customWidth="1" min="7" max="7" width="25.43"/>
    <col customWidth="1" min="8" max="8" width="28.71"/>
    <col customWidth="1" min="9" max="14" width="7.71"/>
    <col customWidth="1" min="15" max="26" width="9.14"/>
  </cols>
  <sheetData>
    <row r="1">
      <c r="A1" s="1" t="s">
        <v>0</v>
      </c>
      <c r="B1" s="1"/>
      <c r="C1" s="2" t="s">
        <v>1</v>
      </c>
      <c r="D1" s="3"/>
      <c r="E1" s="3"/>
      <c r="F1" s="4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>
      <c r="A3" s="6" t="s">
        <v>2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>
      <c r="A4" s="6" t="s">
        <v>3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>
      <c r="A5" s="7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ht="28.5" customHeight="1">
      <c r="A7" s="8" t="s">
        <v>5</v>
      </c>
      <c r="B7" s="9"/>
      <c r="C7" s="9"/>
      <c r="D7" s="9"/>
      <c r="E7" s="9"/>
      <c r="F7" s="10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>
      <c r="A8" s="11"/>
      <c r="B8" s="12" t="s">
        <v>6</v>
      </c>
      <c r="C8" s="12"/>
      <c r="D8" s="13">
        <f>F16*15</f>
        <v>15</v>
      </c>
      <c r="E8" s="14" t="s">
        <v>7</v>
      </c>
      <c r="F8" s="1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>
      <c r="A9" s="11"/>
      <c r="B9" s="12" t="s">
        <v>8</v>
      </c>
      <c r="C9" s="12"/>
      <c r="D9" s="13">
        <f>F17*12</f>
        <v>12</v>
      </c>
      <c r="E9" s="14" t="s">
        <v>9</v>
      </c>
      <c r="F9" s="1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>
      <c r="A10" s="11"/>
      <c r="B10" s="12"/>
      <c r="C10" s="12"/>
      <c r="D10" s="13"/>
      <c r="E10" s="16" t="s">
        <v>10</v>
      </c>
      <c r="F10" s="1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>
      <c r="A11" s="11"/>
      <c r="B11" s="12"/>
      <c r="C11" s="12"/>
      <c r="D11" s="13"/>
      <c r="E11" s="14" t="s">
        <v>11</v>
      </c>
      <c r="F11" s="1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>
      <c r="A12" s="11"/>
      <c r="B12" s="14"/>
      <c r="C12" s="14"/>
      <c r="D12" s="17"/>
      <c r="E12" s="14" t="s">
        <v>12</v>
      </c>
      <c r="F12" s="1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>
      <c r="A13" s="11"/>
      <c r="B13" s="14" t="s">
        <v>13</v>
      </c>
      <c r="C13" s="14"/>
      <c r="D13" s="18">
        <f>SUM(D8:D11)</f>
        <v>27</v>
      </c>
      <c r="E13" s="14" t="s">
        <v>14</v>
      </c>
      <c r="F13" s="1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ht="15.0" customHeight="1">
      <c r="A14" s="19"/>
      <c r="B14" s="5"/>
      <c r="C14" s="5"/>
      <c r="D14" s="5"/>
      <c r="E14" s="5"/>
      <c r="F14" s="20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ht="14.25" customHeight="1">
      <c r="A15" s="21" t="s">
        <v>15</v>
      </c>
      <c r="B15" s="22"/>
      <c r="C15" s="22">
        <f>COUNTA(B36:B41)</f>
        <v>1</v>
      </c>
      <c r="D15" s="22"/>
      <c r="E15" s="22"/>
      <c r="F15" s="23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ht="14.25" customHeight="1">
      <c r="A16" s="21" t="s">
        <v>16</v>
      </c>
      <c r="B16" s="22"/>
      <c r="C16" s="22">
        <f>COUNTA(B45:B194)</f>
        <v>1</v>
      </c>
      <c r="D16" s="24"/>
      <c r="E16" s="25" t="s">
        <v>17</v>
      </c>
      <c r="F16" s="23">
        <f>C16</f>
        <v>1</v>
      </c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ht="14.25" customHeight="1">
      <c r="A17" s="21"/>
      <c r="B17" s="22"/>
      <c r="C17" s="22"/>
      <c r="D17" s="24"/>
      <c r="E17" s="26" t="s">
        <v>18</v>
      </c>
      <c r="F17" s="23">
        <f>COUNTA(F45:F194)</f>
        <v>1</v>
      </c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ht="14.25" customHeight="1">
      <c r="A18" s="21" t="s">
        <v>19</v>
      </c>
      <c r="B18" s="22" t="s">
        <v>20</v>
      </c>
      <c r="C18" s="22">
        <f>COUNTIF(D45:D194, "4th")</f>
        <v>0</v>
      </c>
      <c r="D18" s="22"/>
      <c r="E18" s="22"/>
      <c r="F18" s="23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ht="14.25" customHeight="1">
      <c r="A19" s="21"/>
      <c r="B19" s="22" t="s">
        <v>21</v>
      </c>
      <c r="C19" s="22">
        <f>COUNTIF(D45:D194, "5th")</f>
        <v>0</v>
      </c>
      <c r="D19" s="22"/>
      <c r="E19" s="22"/>
      <c r="F19" s="23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ht="14.25" customHeight="1">
      <c r="A20" s="21"/>
      <c r="B20" s="22" t="s">
        <v>22</v>
      </c>
      <c r="C20" s="22">
        <f>COUNTIF(D45:D194, "Prealgebra")</f>
        <v>1</v>
      </c>
      <c r="D20" s="22"/>
      <c r="E20" s="22"/>
      <c r="F20" s="23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ht="14.25" customHeight="1">
      <c r="A21" s="21"/>
      <c r="B21" s="22" t="s">
        <v>23</v>
      </c>
      <c r="C21" s="22">
        <f>COUNTIF(D45:D194, "Algebra")</f>
        <v>0</v>
      </c>
      <c r="D21" s="22"/>
      <c r="E21" s="22"/>
      <c r="F21" s="23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ht="14.25" customHeight="1">
      <c r="A22" s="21"/>
      <c r="B22" s="22" t="s">
        <v>24</v>
      </c>
      <c r="C22" s="22">
        <f>COUNTIF(D45:D194, "Geometry")</f>
        <v>0</v>
      </c>
      <c r="D22" s="22"/>
      <c r="E22" s="22"/>
      <c r="F22" s="23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ht="14.25" customHeight="1">
      <c r="A23" s="21" t="s">
        <v>25</v>
      </c>
      <c r="B23" s="22"/>
      <c r="C23" s="22">
        <f>SUM(C18:C22)</f>
        <v>1</v>
      </c>
      <c r="D23" s="22"/>
      <c r="E23" s="22"/>
      <c r="F23" s="23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ht="14.25" customHeight="1">
      <c r="A24" s="21"/>
      <c r="B24" s="22"/>
      <c r="C24" s="22"/>
      <c r="D24" s="22"/>
      <c r="E24" s="22"/>
      <c r="F24" s="23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ht="14.25" customHeight="1">
      <c r="A25" s="21" t="s">
        <v>26</v>
      </c>
      <c r="B25" s="22" t="s">
        <v>27</v>
      </c>
      <c r="C25" s="22" t="s">
        <v>28</v>
      </c>
      <c r="D25" s="22" t="s">
        <v>29</v>
      </c>
      <c r="E25" s="22"/>
      <c r="F25" s="23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ht="14.25" customHeight="1">
      <c r="A26" s="21"/>
      <c r="B26" s="27">
        <f>COUNTIF(Pizza,"Pizza Cheese")</f>
        <v>1</v>
      </c>
      <c r="C26" s="27">
        <f>COUNTIF(Pizza,"Pizza Pepperoni")</f>
        <v>0</v>
      </c>
      <c r="D26" s="27">
        <f>COUNTIF(Pizza, "Pizza Pep and Sausage")</f>
        <v>0</v>
      </c>
      <c r="E26" s="27"/>
      <c r="F26" s="28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ht="6.0" customHeight="1">
      <c r="A27" s="21"/>
      <c r="B27" s="22"/>
      <c r="C27" s="22"/>
      <c r="D27" s="22"/>
      <c r="E27" s="22"/>
      <c r="F27" s="23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ht="14.25" customHeight="1">
      <c r="A28" s="21" t="s">
        <v>30</v>
      </c>
      <c r="B28" s="27" t="s">
        <v>31</v>
      </c>
      <c r="C28" s="27" t="s">
        <v>32</v>
      </c>
      <c r="D28" s="27" t="s">
        <v>33</v>
      </c>
      <c r="E28" s="27" t="s">
        <v>34</v>
      </c>
      <c r="F28" s="23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ht="14.25" customHeight="1">
      <c r="A29" s="21"/>
      <c r="B29" s="27">
        <f>COUNTIF(Shirts,"Youth Small")</f>
        <v>1</v>
      </c>
      <c r="C29" s="27">
        <f>COUNTIF(Shirts,"Youth Medium")</f>
        <v>0</v>
      </c>
      <c r="D29" s="27">
        <f>COUNTIF(Shirts,"Youth Large")</f>
        <v>0</v>
      </c>
      <c r="E29" s="27">
        <f>COUNTIF(Shirts,"Youth XL")</f>
        <v>0</v>
      </c>
      <c r="F29" s="23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ht="13.5" customHeight="1">
      <c r="A30" s="21"/>
      <c r="B30" s="27" t="s">
        <v>35</v>
      </c>
      <c r="C30" s="27" t="s">
        <v>36</v>
      </c>
      <c r="D30" s="27" t="s">
        <v>37</v>
      </c>
      <c r="E30" s="27" t="s">
        <v>38</v>
      </c>
      <c r="F30" s="28" t="s">
        <v>39</v>
      </c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ht="14.25" customHeight="1">
      <c r="A31" s="29"/>
      <c r="B31" s="30">
        <f>COUNTIF(Shirts,"Adult small")</f>
        <v>0</v>
      </c>
      <c r="C31" s="30">
        <f>COUNTIF(Shirts,"Adult Medium")</f>
        <v>0</v>
      </c>
      <c r="D31" s="30">
        <f>COUNTIF(Shirts,"Adult Large")</f>
        <v>0</v>
      </c>
      <c r="E31" s="30">
        <f>COUNTIF(Shirts,"Adult XL")</f>
        <v>0</v>
      </c>
      <c r="F31" s="31">
        <f>COUNTIF(Shirts,"Adult 2X")</f>
        <v>0</v>
      </c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ht="15.0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ht="15.0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ht="15.0" customHeight="1">
      <c r="A34" s="32"/>
      <c r="B34" s="33" t="s">
        <v>40</v>
      </c>
      <c r="C34" s="33"/>
      <c r="D34" s="33"/>
      <c r="E34" s="33"/>
      <c r="F34" s="34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ht="15.0" customHeight="1">
      <c r="A35" s="35"/>
      <c r="B35" s="36" t="s">
        <v>41</v>
      </c>
      <c r="C35" s="36" t="s">
        <v>42</v>
      </c>
      <c r="D35" s="36"/>
      <c r="E35" s="36" t="s">
        <v>26</v>
      </c>
      <c r="F35" s="37" t="s">
        <v>43</v>
      </c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ht="15.0" customHeight="1">
      <c r="A36" s="38">
        <v>1.0</v>
      </c>
      <c r="B36" s="38" t="s">
        <v>44</v>
      </c>
      <c r="C36" s="38" t="s">
        <v>45</v>
      </c>
      <c r="D36" s="39"/>
      <c r="E36" s="39" t="s">
        <v>27</v>
      </c>
      <c r="F36" s="38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ht="15.0" customHeight="1">
      <c r="A37" s="40">
        <v>2.0</v>
      </c>
      <c r="B37" s="40"/>
      <c r="C37" s="40"/>
      <c r="D37" s="41"/>
      <c r="E37" s="41"/>
      <c r="F37" s="40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ht="15.0" customHeight="1">
      <c r="A38" s="40">
        <v>3.0</v>
      </c>
      <c r="B38" s="40"/>
      <c r="C38" s="40"/>
      <c r="D38" s="41"/>
      <c r="E38" s="41"/>
      <c r="F38" s="40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ht="15.0" customHeight="1">
      <c r="A39" s="40">
        <v>4.0</v>
      </c>
      <c r="B39" s="40"/>
      <c r="C39" s="40"/>
      <c r="D39" s="41"/>
      <c r="E39" s="41"/>
      <c r="F39" s="40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ht="15.0" customHeight="1">
      <c r="A40" s="40">
        <v>5.0</v>
      </c>
      <c r="B40" s="40"/>
      <c r="C40" s="40"/>
      <c r="D40" s="41"/>
      <c r="E40" s="41"/>
      <c r="F40" s="40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ht="15.0" customHeight="1">
      <c r="A41" s="42">
        <v>6.0</v>
      </c>
      <c r="B41" s="42"/>
      <c r="C41" s="42"/>
      <c r="D41" s="43"/>
      <c r="E41" s="43"/>
      <c r="F41" s="42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ht="15.0" customHeight="1">
      <c r="A42" s="44"/>
      <c r="B42" s="5"/>
      <c r="C42" s="5"/>
      <c r="D42" s="5"/>
      <c r="E42" s="5"/>
      <c r="F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ht="15.0" customHeight="1">
      <c r="A43" s="45"/>
      <c r="B43" s="45" t="s">
        <v>46</v>
      </c>
      <c r="C43" s="45"/>
      <c r="D43" s="45"/>
      <c r="E43" s="45"/>
      <c r="F43" s="4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ht="15.75" customHeight="1">
      <c r="A44" s="46" t="s">
        <v>47</v>
      </c>
      <c r="B44" s="47" t="s">
        <v>48</v>
      </c>
      <c r="C44" s="48" t="s">
        <v>49</v>
      </c>
      <c r="D44" s="49" t="s">
        <v>50</v>
      </c>
      <c r="E44" s="50" t="s">
        <v>51</v>
      </c>
      <c r="F44" s="50" t="s">
        <v>52</v>
      </c>
      <c r="G44" s="51"/>
      <c r="H44" s="51"/>
      <c r="I44" s="51"/>
      <c r="J44" s="51"/>
      <c r="K44" s="51"/>
      <c r="L44" s="51"/>
      <c r="M44" s="51"/>
      <c r="N44" s="51"/>
      <c r="O44" s="51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ht="15.75" customHeight="1">
      <c r="A45" s="52">
        <v>1.0</v>
      </c>
      <c r="B45" s="53" t="s">
        <v>53</v>
      </c>
      <c r="C45" s="54" t="s">
        <v>45</v>
      </c>
      <c r="D45" s="55" t="s">
        <v>54</v>
      </c>
      <c r="E45" s="56" t="s">
        <v>27</v>
      </c>
      <c r="F45" s="56" t="s">
        <v>55</v>
      </c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ht="15.75" customHeight="1">
      <c r="A46" s="57">
        <f t="shared" ref="A46:A194" si="1">A45+1</f>
        <v>2</v>
      </c>
      <c r="B46" s="58"/>
      <c r="C46" s="59"/>
      <c r="D46" s="60"/>
      <c r="E46" s="61"/>
      <c r="F46" s="61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ht="15.75" customHeight="1">
      <c r="A47" s="57">
        <f t="shared" si="1"/>
        <v>3</v>
      </c>
      <c r="B47" s="62"/>
      <c r="C47" s="63"/>
      <c r="D47" s="55"/>
      <c r="E47" s="64"/>
      <c r="F47" s="64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ht="15.75" customHeight="1">
      <c r="A48" s="57">
        <f t="shared" si="1"/>
        <v>4</v>
      </c>
      <c r="B48" s="62"/>
      <c r="C48" s="63"/>
      <c r="D48" s="55"/>
      <c r="E48" s="64"/>
      <c r="F48" s="64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ht="15.75" customHeight="1">
      <c r="A49" s="57">
        <f t="shared" si="1"/>
        <v>5</v>
      </c>
      <c r="B49" s="62"/>
      <c r="C49" s="63"/>
      <c r="D49" s="55"/>
      <c r="E49" s="64"/>
      <c r="F49" s="64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ht="15.75" customHeight="1">
      <c r="A50" s="57">
        <f t="shared" si="1"/>
        <v>6</v>
      </c>
      <c r="B50" s="62"/>
      <c r="C50" s="63"/>
      <c r="D50" s="55"/>
      <c r="E50" s="64"/>
      <c r="F50" s="64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ht="15.75" customHeight="1">
      <c r="A51" s="57">
        <f t="shared" si="1"/>
        <v>7</v>
      </c>
      <c r="B51" s="62"/>
      <c r="C51" s="63"/>
      <c r="D51" s="55"/>
      <c r="E51" s="64"/>
      <c r="F51" s="64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ht="15.75" customHeight="1">
      <c r="A52" s="57">
        <f t="shared" si="1"/>
        <v>8</v>
      </c>
      <c r="B52" s="62"/>
      <c r="C52" s="63"/>
      <c r="D52" s="55"/>
      <c r="E52" s="64"/>
      <c r="F52" s="64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ht="15.75" customHeight="1">
      <c r="A53" s="57">
        <f t="shared" si="1"/>
        <v>9</v>
      </c>
      <c r="B53" s="62"/>
      <c r="C53" s="63"/>
      <c r="D53" s="55"/>
      <c r="E53" s="64"/>
      <c r="F53" s="64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ht="15.75" customHeight="1">
      <c r="A54" s="57">
        <f t="shared" si="1"/>
        <v>10</v>
      </c>
      <c r="B54" s="62"/>
      <c r="C54" s="63"/>
      <c r="D54" s="55"/>
      <c r="E54" s="64"/>
      <c r="F54" s="64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ht="15.75" customHeight="1">
      <c r="A55" s="57">
        <f t="shared" si="1"/>
        <v>11</v>
      </c>
      <c r="B55" s="62"/>
      <c r="C55" s="63"/>
      <c r="D55" s="55"/>
      <c r="E55" s="64"/>
      <c r="F55" s="64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ht="15.75" customHeight="1">
      <c r="A56" s="57">
        <f t="shared" si="1"/>
        <v>12</v>
      </c>
      <c r="B56" s="62"/>
      <c r="C56" s="63"/>
      <c r="D56" s="55"/>
      <c r="E56" s="64"/>
      <c r="F56" s="64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ht="15.75" customHeight="1">
      <c r="A57" s="57">
        <f t="shared" si="1"/>
        <v>13</v>
      </c>
      <c r="B57" s="62"/>
      <c r="C57" s="63"/>
      <c r="D57" s="55"/>
      <c r="E57" s="64"/>
      <c r="F57" s="64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ht="15.75" customHeight="1">
      <c r="A58" s="57">
        <f t="shared" si="1"/>
        <v>14</v>
      </c>
      <c r="B58" s="62"/>
      <c r="C58" s="63"/>
      <c r="D58" s="55"/>
      <c r="E58" s="64"/>
      <c r="F58" s="64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ht="15.75" customHeight="1">
      <c r="A59" s="57">
        <f t="shared" si="1"/>
        <v>15</v>
      </c>
      <c r="B59" s="65"/>
      <c r="C59" s="63"/>
      <c r="D59" s="55"/>
      <c r="E59" s="64"/>
      <c r="F59" s="64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ht="15.75" customHeight="1">
      <c r="A60" s="57">
        <f t="shared" si="1"/>
        <v>16</v>
      </c>
      <c r="B60" s="62"/>
      <c r="C60" s="63"/>
      <c r="D60" s="55"/>
      <c r="E60" s="64"/>
      <c r="F60" s="64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ht="15.75" customHeight="1">
      <c r="A61" s="57">
        <f t="shared" si="1"/>
        <v>17</v>
      </c>
      <c r="B61" s="62"/>
      <c r="C61" s="63"/>
      <c r="D61" s="55"/>
      <c r="E61" s="64"/>
      <c r="F61" s="64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ht="15.75" customHeight="1">
      <c r="A62" s="57">
        <f t="shared" si="1"/>
        <v>18</v>
      </c>
      <c r="B62" s="62"/>
      <c r="C62" s="63"/>
      <c r="D62" s="55"/>
      <c r="E62" s="64"/>
      <c r="F62" s="64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ht="15.75" customHeight="1">
      <c r="A63" s="57">
        <f t="shared" si="1"/>
        <v>19</v>
      </c>
      <c r="B63" s="62"/>
      <c r="C63" s="63"/>
      <c r="D63" s="55"/>
      <c r="E63" s="64"/>
      <c r="F63" s="64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ht="15.75" customHeight="1">
      <c r="A64" s="57">
        <f t="shared" si="1"/>
        <v>20</v>
      </c>
      <c r="B64" s="62"/>
      <c r="C64" s="63"/>
      <c r="D64" s="55"/>
      <c r="E64" s="64"/>
      <c r="F64" s="64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ht="15.75" customHeight="1">
      <c r="A65" s="57">
        <f t="shared" si="1"/>
        <v>21</v>
      </c>
      <c r="B65" s="62"/>
      <c r="C65" s="63"/>
      <c r="D65" s="55"/>
      <c r="E65" s="64"/>
      <c r="F65" s="64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ht="15.75" customHeight="1">
      <c r="A66" s="57">
        <f t="shared" si="1"/>
        <v>22</v>
      </c>
      <c r="B66" s="62"/>
      <c r="C66" s="63"/>
      <c r="D66" s="55"/>
      <c r="E66" s="64"/>
      <c r="F66" s="64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ht="15.75" customHeight="1">
      <c r="A67" s="57">
        <f t="shared" si="1"/>
        <v>23</v>
      </c>
      <c r="B67" s="62"/>
      <c r="C67" s="63"/>
      <c r="D67" s="55"/>
      <c r="E67" s="64"/>
      <c r="F67" s="64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ht="15.75" customHeight="1">
      <c r="A68" s="57">
        <f t="shared" si="1"/>
        <v>24</v>
      </c>
      <c r="B68" s="62"/>
      <c r="C68" s="63"/>
      <c r="D68" s="55"/>
      <c r="E68" s="64"/>
      <c r="F68" s="64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ht="15.75" customHeight="1">
      <c r="A69" s="57">
        <f t="shared" si="1"/>
        <v>25</v>
      </c>
      <c r="B69" s="62"/>
      <c r="C69" s="63"/>
      <c r="D69" s="55"/>
      <c r="E69" s="64"/>
      <c r="F69" s="64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ht="15.75" customHeight="1">
      <c r="A70" s="57">
        <f t="shared" si="1"/>
        <v>26</v>
      </c>
      <c r="B70" s="62"/>
      <c r="C70" s="63"/>
      <c r="D70" s="55"/>
      <c r="E70" s="64"/>
      <c r="F70" s="64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ht="15.75" customHeight="1">
      <c r="A71" s="57">
        <f t="shared" si="1"/>
        <v>27</v>
      </c>
      <c r="B71" s="62"/>
      <c r="C71" s="63"/>
      <c r="D71" s="55"/>
      <c r="E71" s="64"/>
      <c r="F71" s="64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ht="15.75" customHeight="1">
      <c r="A72" s="57">
        <f t="shared" si="1"/>
        <v>28</v>
      </c>
      <c r="B72" s="62"/>
      <c r="C72" s="63"/>
      <c r="D72" s="55"/>
      <c r="E72" s="64"/>
      <c r="F72" s="64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ht="15.75" customHeight="1">
      <c r="A73" s="57">
        <f t="shared" si="1"/>
        <v>29</v>
      </c>
      <c r="B73" s="62"/>
      <c r="C73" s="63"/>
      <c r="D73" s="66"/>
      <c r="E73" s="64"/>
      <c r="F73" s="64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ht="15.75" customHeight="1">
      <c r="A74" s="57">
        <f t="shared" si="1"/>
        <v>30</v>
      </c>
      <c r="B74" s="62"/>
      <c r="C74" s="63"/>
      <c r="D74" s="66"/>
      <c r="E74" s="64"/>
      <c r="F74" s="64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ht="15.75" customHeight="1">
      <c r="A75" s="57">
        <f t="shared" si="1"/>
        <v>31</v>
      </c>
      <c r="B75" s="62"/>
      <c r="C75" s="63"/>
      <c r="D75" s="66"/>
      <c r="E75" s="64"/>
      <c r="F75" s="64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ht="15.75" customHeight="1">
      <c r="A76" s="57">
        <f t="shared" si="1"/>
        <v>32</v>
      </c>
      <c r="B76" s="62"/>
      <c r="C76" s="63"/>
      <c r="D76" s="66"/>
      <c r="E76" s="64"/>
      <c r="F76" s="64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ht="15.75" customHeight="1">
      <c r="A77" s="57">
        <f t="shared" si="1"/>
        <v>33</v>
      </c>
      <c r="B77" s="62"/>
      <c r="C77" s="63"/>
      <c r="D77" s="66"/>
      <c r="E77" s="64"/>
      <c r="F77" s="64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ht="15.75" customHeight="1">
      <c r="A78" s="57">
        <f t="shared" si="1"/>
        <v>34</v>
      </c>
      <c r="B78" s="62"/>
      <c r="C78" s="63"/>
      <c r="D78" s="66"/>
      <c r="E78" s="64"/>
      <c r="F78" s="64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ht="15.75" customHeight="1">
      <c r="A79" s="57">
        <f t="shared" si="1"/>
        <v>35</v>
      </c>
      <c r="B79" s="62"/>
      <c r="C79" s="63"/>
      <c r="D79" s="66"/>
      <c r="E79" s="64"/>
      <c r="F79" s="64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ht="15.75" customHeight="1">
      <c r="A80" s="57">
        <f t="shared" si="1"/>
        <v>36</v>
      </c>
      <c r="B80" s="62"/>
      <c r="C80" s="63"/>
      <c r="D80" s="66"/>
      <c r="E80" s="64"/>
      <c r="F80" s="64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ht="15.75" customHeight="1">
      <c r="A81" s="57">
        <f t="shared" si="1"/>
        <v>37</v>
      </c>
      <c r="B81" s="62"/>
      <c r="C81" s="63"/>
      <c r="D81" s="66"/>
      <c r="E81" s="64"/>
      <c r="F81" s="64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ht="15.75" customHeight="1">
      <c r="A82" s="57">
        <f t="shared" si="1"/>
        <v>38</v>
      </c>
      <c r="B82" s="62"/>
      <c r="C82" s="63"/>
      <c r="D82" s="66"/>
      <c r="E82" s="64"/>
      <c r="F82" s="64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ht="15.75" customHeight="1">
      <c r="A83" s="57">
        <f t="shared" si="1"/>
        <v>39</v>
      </c>
      <c r="B83" s="62"/>
      <c r="C83" s="63"/>
      <c r="D83" s="66"/>
      <c r="E83" s="64"/>
      <c r="F83" s="64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ht="15.75" customHeight="1">
      <c r="A84" s="57">
        <f t="shared" si="1"/>
        <v>40</v>
      </c>
      <c r="B84" s="62"/>
      <c r="C84" s="63"/>
      <c r="D84" s="66"/>
      <c r="E84" s="64"/>
      <c r="F84" s="64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ht="15.75" customHeight="1">
      <c r="A85" s="57">
        <f t="shared" si="1"/>
        <v>41</v>
      </c>
      <c r="B85" s="62"/>
      <c r="C85" s="63"/>
      <c r="D85" s="66"/>
      <c r="E85" s="64"/>
      <c r="F85" s="64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ht="15.75" customHeight="1">
      <c r="A86" s="57">
        <f t="shared" si="1"/>
        <v>42</v>
      </c>
      <c r="B86" s="62"/>
      <c r="C86" s="63"/>
      <c r="D86" s="66"/>
      <c r="E86" s="64"/>
      <c r="F86" s="64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ht="15.75" customHeight="1">
      <c r="A87" s="57">
        <f t="shared" si="1"/>
        <v>43</v>
      </c>
      <c r="B87" s="62"/>
      <c r="C87" s="63"/>
      <c r="D87" s="66"/>
      <c r="E87" s="64"/>
      <c r="F87" s="64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ht="15.75" customHeight="1">
      <c r="A88" s="57">
        <f t="shared" si="1"/>
        <v>44</v>
      </c>
      <c r="B88" s="62"/>
      <c r="C88" s="63"/>
      <c r="D88" s="66"/>
      <c r="E88" s="64"/>
      <c r="F88" s="64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ht="15.75" customHeight="1">
      <c r="A89" s="57">
        <f t="shared" si="1"/>
        <v>45</v>
      </c>
      <c r="B89" s="62"/>
      <c r="C89" s="63"/>
      <c r="D89" s="66"/>
      <c r="E89" s="64"/>
      <c r="F89" s="64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ht="15.75" customHeight="1">
      <c r="A90" s="57">
        <f t="shared" si="1"/>
        <v>46</v>
      </c>
      <c r="B90" s="62"/>
      <c r="C90" s="63"/>
      <c r="D90" s="66"/>
      <c r="E90" s="64"/>
      <c r="F90" s="64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ht="15.75" customHeight="1">
      <c r="A91" s="57">
        <f t="shared" si="1"/>
        <v>47</v>
      </c>
      <c r="B91" s="62"/>
      <c r="C91" s="63"/>
      <c r="D91" s="66"/>
      <c r="E91" s="64"/>
      <c r="F91" s="64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ht="15.75" customHeight="1">
      <c r="A92" s="57">
        <f t="shared" si="1"/>
        <v>48</v>
      </c>
      <c r="B92" s="62"/>
      <c r="C92" s="63"/>
      <c r="D92" s="66"/>
      <c r="E92" s="64"/>
      <c r="F92" s="64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ht="15.75" customHeight="1">
      <c r="A93" s="57">
        <f t="shared" si="1"/>
        <v>49</v>
      </c>
      <c r="B93" s="62"/>
      <c r="C93" s="63"/>
      <c r="D93" s="66"/>
      <c r="E93" s="64"/>
      <c r="F93" s="64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ht="15.75" customHeight="1">
      <c r="A94" s="57">
        <f t="shared" si="1"/>
        <v>50</v>
      </c>
      <c r="B94" s="62"/>
      <c r="C94" s="63"/>
      <c r="D94" s="66"/>
      <c r="E94" s="64"/>
      <c r="F94" s="64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ht="15.75" customHeight="1">
      <c r="A95" s="57">
        <f t="shared" si="1"/>
        <v>51</v>
      </c>
      <c r="B95" s="62"/>
      <c r="C95" s="63"/>
      <c r="D95" s="66"/>
      <c r="E95" s="64"/>
      <c r="F95" s="64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ht="15.75" customHeight="1">
      <c r="A96" s="57">
        <f t="shared" si="1"/>
        <v>52</v>
      </c>
      <c r="B96" s="62"/>
      <c r="C96" s="63"/>
      <c r="D96" s="66"/>
      <c r="E96" s="64"/>
      <c r="F96" s="64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ht="15.75" customHeight="1">
      <c r="A97" s="57">
        <f t="shared" si="1"/>
        <v>53</v>
      </c>
      <c r="B97" s="62"/>
      <c r="C97" s="63"/>
      <c r="D97" s="66"/>
      <c r="E97" s="64"/>
      <c r="F97" s="64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ht="15.75" customHeight="1">
      <c r="A98" s="57">
        <f t="shared" si="1"/>
        <v>54</v>
      </c>
      <c r="B98" s="62"/>
      <c r="C98" s="63"/>
      <c r="D98" s="66"/>
      <c r="E98" s="64"/>
      <c r="F98" s="64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ht="15.75" customHeight="1">
      <c r="A99" s="57">
        <f t="shared" si="1"/>
        <v>55</v>
      </c>
      <c r="B99" s="62"/>
      <c r="C99" s="63"/>
      <c r="D99" s="66"/>
      <c r="E99" s="64"/>
      <c r="F99" s="64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ht="15.75" customHeight="1">
      <c r="A100" s="57">
        <f t="shared" si="1"/>
        <v>56</v>
      </c>
      <c r="B100" s="62"/>
      <c r="C100" s="63"/>
      <c r="D100" s="66"/>
      <c r="E100" s="64"/>
      <c r="F100" s="64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ht="15.75" customHeight="1">
      <c r="A101" s="57">
        <f t="shared" si="1"/>
        <v>57</v>
      </c>
      <c r="B101" s="62"/>
      <c r="C101" s="63"/>
      <c r="D101" s="66"/>
      <c r="E101" s="64"/>
      <c r="F101" s="64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ht="15.75" customHeight="1">
      <c r="A102" s="57">
        <f t="shared" si="1"/>
        <v>58</v>
      </c>
      <c r="B102" s="62"/>
      <c r="C102" s="63"/>
      <c r="D102" s="66"/>
      <c r="E102" s="64"/>
      <c r="F102" s="64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ht="15.75" customHeight="1">
      <c r="A103" s="57">
        <f t="shared" si="1"/>
        <v>59</v>
      </c>
      <c r="B103" s="62"/>
      <c r="C103" s="63"/>
      <c r="D103" s="66"/>
      <c r="E103" s="64"/>
      <c r="F103" s="64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ht="15.75" customHeight="1">
      <c r="A104" s="57">
        <f t="shared" si="1"/>
        <v>60</v>
      </c>
      <c r="B104" s="62"/>
      <c r="C104" s="63"/>
      <c r="D104" s="66"/>
      <c r="E104" s="64"/>
      <c r="F104" s="64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ht="15.75" customHeight="1">
      <c r="A105" s="57">
        <f t="shared" si="1"/>
        <v>61</v>
      </c>
      <c r="B105" s="62"/>
      <c r="C105" s="63"/>
      <c r="D105" s="66"/>
      <c r="E105" s="64"/>
      <c r="F105" s="64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ht="15.75" customHeight="1">
      <c r="A106" s="57">
        <f t="shared" si="1"/>
        <v>62</v>
      </c>
      <c r="B106" s="62"/>
      <c r="C106" s="63"/>
      <c r="D106" s="66"/>
      <c r="E106" s="64"/>
      <c r="F106" s="64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ht="15.75" customHeight="1">
      <c r="A107" s="57">
        <f t="shared" si="1"/>
        <v>63</v>
      </c>
      <c r="B107" s="62"/>
      <c r="C107" s="63"/>
      <c r="D107" s="66"/>
      <c r="E107" s="64"/>
      <c r="F107" s="64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ht="15.75" customHeight="1">
      <c r="A108" s="57">
        <f t="shared" si="1"/>
        <v>64</v>
      </c>
      <c r="B108" s="62"/>
      <c r="C108" s="63"/>
      <c r="D108" s="66"/>
      <c r="E108" s="64"/>
      <c r="F108" s="64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ht="15.75" customHeight="1">
      <c r="A109" s="57">
        <f t="shared" si="1"/>
        <v>65</v>
      </c>
      <c r="B109" s="62"/>
      <c r="C109" s="63"/>
      <c r="D109" s="66"/>
      <c r="E109" s="64"/>
      <c r="F109" s="64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ht="15.75" customHeight="1">
      <c r="A110" s="57">
        <f t="shared" si="1"/>
        <v>66</v>
      </c>
      <c r="B110" s="62"/>
      <c r="C110" s="63"/>
      <c r="D110" s="66"/>
      <c r="E110" s="64"/>
      <c r="F110" s="64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ht="15.75" customHeight="1">
      <c r="A111" s="57">
        <f t="shared" si="1"/>
        <v>67</v>
      </c>
      <c r="B111" s="62"/>
      <c r="C111" s="63"/>
      <c r="D111" s="66"/>
      <c r="E111" s="64"/>
      <c r="F111" s="64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ht="15.75" customHeight="1">
      <c r="A112" s="57">
        <f t="shared" si="1"/>
        <v>68</v>
      </c>
      <c r="B112" s="62"/>
      <c r="C112" s="63"/>
      <c r="D112" s="66"/>
      <c r="E112" s="64"/>
      <c r="F112" s="64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ht="15.75" customHeight="1">
      <c r="A113" s="57">
        <f t="shared" si="1"/>
        <v>69</v>
      </c>
      <c r="B113" s="62"/>
      <c r="C113" s="63"/>
      <c r="D113" s="66"/>
      <c r="E113" s="64"/>
      <c r="F113" s="64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ht="15.75" customHeight="1">
      <c r="A114" s="57">
        <f t="shared" si="1"/>
        <v>70</v>
      </c>
      <c r="B114" s="62"/>
      <c r="C114" s="63"/>
      <c r="D114" s="66"/>
      <c r="E114" s="64"/>
      <c r="F114" s="64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ht="15.75" customHeight="1">
      <c r="A115" s="57">
        <f t="shared" si="1"/>
        <v>71</v>
      </c>
      <c r="B115" s="62"/>
      <c r="C115" s="63"/>
      <c r="D115" s="66"/>
      <c r="E115" s="64"/>
      <c r="F115" s="64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ht="15.75" customHeight="1">
      <c r="A116" s="57">
        <f t="shared" si="1"/>
        <v>72</v>
      </c>
      <c r="B116" s="62"/>
      <c r="C116" s="63"/>
      <c r="D116" s="66"/>
      <c r="E116" s="64"/>
      <c r="F116" s="64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ht="15.75" customHeight="1">
      <c r="A117" s="57">
        <f t="shared" si="1"/>
        <v>73</v>
      </c>
      <c r="B117" s="62"/>
      <c r="C117" s="63"/>
      <c r="D117" s="66"/>
      <c r="E117" s="64"/>
      <c r="F117" s="64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ht="15.75" customHeight="1">
      <c r="A118" s="57">
        <f t="shared" si="1"/>
        <v>74</v>
      </c>
      <c r="B118" s="62"/>
      <c r="C118" s="63"/>
      <c r="D118" s="66"/>
      <c r="E118" s="64"/>
      <c r="F118" s="64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ht="15.75" customHeight="1">
      <c r="A119" s="57">
        <f t="shared" si="1"/>
        <v>75</v>
      </c>
      <c r="B119" s="62"/>
      <c r="C119" s="63"/>
      <c r="D119" s="66"/>
      <c r="E119" s="64"/>
      <c r="F119" s="64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ht="15.75" customHeight="1">
      <c r="A120" s="57">
        <f t="shared" si="1"/>
        <v>76</v>
      </c>
      <c r="B120" s="62"/>
      <c r="C120" s="63"/>
      <c r="D120" s="66"/>
      <c r="E120" s="64"/>
      <c r="F120" s="64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ht="15.75" customHeight="1">
      <c r="A121" s="57">
        <f t="shared" si="1"/>
        <v>77</v>
      </c>
      <c r="B121" s="62"/>
      <c r="C121" s="63"/>
      <c r="D121" s="66"/>
      <c r="E121" s="64"/>
      <c r="F121" s="64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ht="15.75" customHeight="1">
      <c r="A122" s="57">
        <f t="shared" si="1"/>
        <v>78</v>
      </c>
      <c r="B122" s="62"/>
      <c r="C122" s="63"/>
      <c r="D122" s="66"/>
      <c r="E122" s="64"/>
      <c r="F122" s="64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ht="15.75" customHeight="1">
      <c r="A123" s="57">
        <f t="shared" si="1"/>
        <v>79</v>
      </c>
      <c r="B123" s="62"/>
      <c r="C123" s="63"/>
      <c r="D123" s="66"/>
      <c r="E123" s="64"/>
      <c r="F123" s="64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ht="15.75" customHeight="1">
      <c r="A124" s="57">
        <f t="shared" si="1"/>
        <v>80</v>
      </c>
      <c r="B124" s="62"/>
      <c r="C124" s="63"/>
      <c r="D124" s="66"/>
      <c r="E124" s="64"/>
      <c r="F124" s="64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ht="15.75" customHeight="1">
      <c r="A125" s="57">
        <f t="shared" si="1"/>
        <v>81</v>
      </c>
      <c r="B125" s="62"/>
      <c r="C125" s="63"/>
      <c r="D125" s="66"/>
      <c r="E125" s="64"/>
      <c r="F125" s="64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ht="15.75" customHeight="1">
      <c r="A126" s="57">
        <f t="shared" si="1"/>
        <v>82</v>
      </c>
      <c r="B126" s="62"/>
      <c r="C126" s="63"/>
      <c r="D126" s="66"/>
      <c r="E126" s="64"/>
      <c r="F126" s="64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ht="15.75" customHeight="1">
      <c r="A127" s="57">
        <f t="shared" si="1"/>
        <v>83</v>
      </c>
      <c r="B127" s="62"/>
      <c r="C127" s="63"/>
      <c r="D127" s="66"/>
      <c r="E127" s="64"/>
      <c r="F127" s="64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ht="15.75" customHeight="1">
      <c r="A128" s="57">
        <f t="shared" si="1"/>
        <v>84</v>
      </c>
      <c r="B128" s="62"/>
      <c r="C128" s="63"/>
      <c r="D128" s="66"/>
      <c r="E128" s="64"/>
      <c r="F128" s="64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ht="15.75" customHeight="1">
      <c r="A129" s="57">
        <f t="shared" si="1"/>
        <v>85</v>
      </c>
      <c r="B129" s="62"/>
      <c r="C129" s="63"/>
      <c r="D129" s="66"/>
      <c r="E129" s="64"/>
      <c r="F129" s="64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ht="15.75" customHeight="1">
      <c r="A130" s="57">
        <f t="shared" si="1"/>
        <v>86</v>
      </c>
      <c r="B130" s="62"/>
      <c r="C130" s="63"/>
      <c r="D130" s="66"/>
      <c r="E130" s="64"/>
      <c r="F130" s="64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ht="15.75" customHeight="1">
      <c r="A131" s="57">
        <f t="shared" si="1"/>
        <v>87</v>
      </c>
      <c r="B131" s="62"/>
      <c r="C131" s="63"/>
      <c r="D131" s="66"/>
      <c r="E131" s="64"/>
      <c r="F131" s="64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ht="15.75" customHeight="1">
      <c r="A132" s="57">
        <f t="shared" si="1"/>
        <v>88</v>
      </c>
      <c r="B132" s="62"/>
      <c r="C132" s="63"/>
      <c r="D132" s="66"/>
      <c r="E132" s="64"/>
      <c r="F132" s="64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ht="15.75" customHeight="1">
      <c r="A133" s="57">
        <f t="shared" si="1"/>
        <v>89</v>
      </c>
      <c r="B133" s="62"/>
      <c r="C133" s="63"/>
      <c r="D133" s="66"/>
      <c r="E133" s="64"/>
      <c r="F133" s="64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ht="15.75" customHeight="1">
      <c r="A134" s="57">
        <f t="shared" si="1"/>
        <v>90</v>
      </c>
      <c r="B134" s="62"/>
      <c r="C134" s="63"/>
      <c r="D134" s="66"/>
      <c r="E134" s="64"/>
      <c r="F134" s="64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ht="15.75" customHeight="1">
      <c r="A135" s="57">
        <f t="shared" si="1"/>
        <v>91</v>
      </c>
      <c r="B135" s="62"/>
      <c r="C135" s="63"/>
      <c r="D135" s="66"/>
      <c r="E135" s="64"/>
      <c r="F135" s="64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ht="15.75" customHeight="1">
      <c r="A136" s="57">
        <f t="shared" si="1"/>
        <v>92</v>
      </c>
      <c r="B136" s="62"/>
      <c r="C136" s="63"/>
      <c r="D136" s="66"/>
      <c r="E136" s="64"/>
      <c r="F136" s="64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ht="15.75" customHeight="1">
      <c r="A137" s="57">
        <f t="shared" si="1"/>
        <v>93</v>
      </c>
      <c r="B137" s="62"/>
      <c r="C137" s="63"/>
      <c r="D137" s="66"/>
      <c r="E137" s="64"/>
      <c r="F137" s="64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ht="15.75" customHeight="1">
      <c r="A138" s="57">
        <f t="shared" si="1"/>
        <v>94</v>
      </c>
      <c r="B138" s="62"/>
      <c r="C138" s="63"/>
      <c r="D138" s="66"/>
      <c r="E138" s="64"/>
      <c r="F138" s="64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ht="15.75" customHeight="1">
      <c r="A139" s="57">
        <f t="shared" si="1"/>
        <v>95</v>
      </c>
      <c r="B139" s="62"/>
      <c r="C139" s="63"/>
      <c r="D139" s="66"/>
      <c r="E139" s="64"/>
      <c r="F139" s="64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ht="15.75" customHeight="1">
      <c r="A140" s="57">
        <f t="shared" si="1"/>
        <v>96</v>
      </c>
      <c r="B140" s="62"/>
      <c r="C140" s="63"/>
      <c r="D140" s="66"/>
      <c r="E140" s="64"/>
      <c r="F140" s="64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ht="15.75" customHeight="1">
      <c r="A141" s="57">
        <f t="shared" si="1"/>
        <v>97</v>
      </c>
      <c r="B141" s="62"/>
      <c r="C141" s="63"/>
      <c r="D141" s="66"/>
      <c r="E141" s="64"/>
      <c r="F141" s="64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ht="15.75" customHeight="1">
      <c r="A142" s="57">
        <f t="shared" si="1"/>
        <v>98</v>
      </c>
      <c r="B142" s="62"/>
      <c r="C142" s="63"/>
      <c r="D142" s="66"/>
      <c r="E142" s="64"/>
      <c r="F142" s="64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ht="15.75" customHeight="1">
      <c r="A143" s="57">
        <f t="shared" si="1"/>
        <v>99</v>
      </c>
      <c r="B143" s="62"/>
      <c r="C143" s="63"/>
      <c r="D143" s="66"/>
      <c r="E143" s="64"/>
      <c r="F143" s="64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ht="15.75" customHeight="1">
      <c r="A144" s="57">
        <f t="shared" si="1"/>
        <v>100</v>
      </c>
      <c r="B144" s="67"/>
      <c r="C144" s="68"/>
      <c r="D144" s="69"/>
      <c r="E144" s="64"/>
      <c r="F144" s="64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ht="15.75" customHeight="1">
      <c r="A145" s="57">
        <f t="shared" si="1"/>
        <v>101</v>
      </c>
      <c r="B145" s="67"/>
      <c r="C145" s="68"/>
      <c r="D145" s="69"/>
      <c r="E145" s="64"/>
      <c r="F145" s="64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ht="15.75" customHeight="1">
      <c r="A146" s="57">
        <f t="shared" si="1"/>
        <v>102</v>
      </c>
      <c r="B146" s="67"/>
      <c r="C146" s="68"/>
      <c r="D146" s="69"/>
      <c r="E146" s="64"/>
      <c r="F146" s="64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ht="15.75" customHeight="1">
      <c r="A147" s="57">
        <f t="shared" si="1"/>
        <v>103</v>
      </c>
      <c r="B147" s="67"/>
      <c r="C147" s="68"/>
      <c r="D147" s="69"/>
      <c r="E147" s="64"/>
      <c r="F147" s="64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ht="15.75" customHeight="1">
      <c r="A148" s="57">
        <f t="shared" si="1"/>
        <v>104</v>
      </c>
      <c r="B148" s="67"/>
      <c r="C148" s="68"/>
      <c r="D148" s="69"/>
      <c r="E148" s="64"/>
      <c r="F148" s="64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ht="15.75" customHeight="1">
      <c r="A149" s="57">
        <f t="shared" si="1"/>
        <v>105</v>
      </c>
      <c r="B149" s="67"/>
      <c r="C149" s="68"/>
      <c r="D149" s="69"/>
      <c r="E149" s="64"/>
      <c r="F149" s="64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ht="15.75" customHeight="1">
      <c r="A150" s="57">
        <f t="shared" si="1"/>
        <v>106</v>
      </c>
      <c r="B150" s="67"/>
      <c r="C150" s="68"/>
      <c r="D150" s="69"/>
      <c r="E150" s="64"/>
      <c r="F150" s="64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ht="15.75" customHeight="1">
      <c r="A151" s="57">
        <f t="shared" si="1"/>
        <v>107</v>
      </c>
      <c r="B151" s="67"/>
      <c r="C151" s="68"/>
      <c r="D151" s="69"/>
      <c r="E151" s="64"/>
      <c r="F151" s="64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ht="15.75" customHeight="1">
      <c r="A152" s="57">
        <f t="shared" si="1"/>
        <v>108</v>
      </c>
      <c r="B152" s="67"/>
      <c r="C152" s="68"/>
      <c r="D152" s="69"/>
      <c r="E152" s="64"/>
      <c r="F152" s="64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ht="15.75" customHeight="1">
      <c r="A153" s="57">
        <f t="shared" si="1"/>
        <v>109</v>
      </c>
      <c r="B153" s="67"/>
      <c r="C153" s="68"/>
      <c r="D153" s="69"/>
      <c r="E153" s="64"/>
      <c r="F153" s="64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ht="15.75" customHeight="1">
      <c r="A154" s="57">
        <f t="shared" si="1"/>
        <v>110</v>
      </c>
      <c r="B154" s="67"/>
      <c r="C154" s="68"/>
      <c r="D154" s="69"/>
      <c r="E154" s="64"/>
      <c r="F154" s="64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ht="15.75" customHeight="1">
      <c r="A155" s="57">
        <f t="shared" si="1"/>
        <v>111</v>
      </c>
      <c r="B155" s="67"/>
      <c r="C155" s="68"/>
      <c r="D155" s="69"/>
      <c r="E155" s="64"/>
      <c r="F155" s="64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ht="15.75" customHeight="1">
      <c r="A156" s="57">
        <f t="shared" si="1"/>
        <v>112</v>
      </c>
      <c r="B156" s="67"/>
      <c r="C156" s="68"/>
      <c r="D156" s="69"/>
      <c r="E156" s="64"/>
      <c r="F156" s="64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ht="15.75" customHeight="1">
      <c r="A157" s="57">
        <f t="shared" si="1"/>
        <v>113</v>
      </c>
      <c r="B157" s="67"/>
      <c r="C157" s="68"/>
      <c r="D157" s="69"/>
      <c r="E157" s="64"/>
      <c r="F157" s="64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ht="15.75" customHeight="1">
      <c r="A158" s="57">
        <f t="shared" si="1"/>
        <v>114</v>
      </c>
      <c r="B158" s="67"/>
      <c r="C158" s="68"/>
      <c r="D158" s="69"/>
      <c r="E158" s="64"/>
      <c r="F158" s="64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ht="15.75" customHeight="1">
      <c r="A159" s="57">
        <f t="shared" si="1"/>
        <v>115</v>
      </c>
      <c r="B159" s="67"/>
      <c r="C159" s="68"/>
      <c r="D159" s="69"/>
      <c r="E159" s="64"/>
      <c r="F159" s="64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ht="15.75" customHeight="1">
      <c r="A160" s="57">
        <f t="shared" si="1"/>
        <v>116</v>
      </c>
      <c r="B160" s="67"/>
      <c r="C160" s="68"/>
      <c r="D160" s="69"/>
      <c r="E160" s="64"/>
      <c r="F160" s="64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ht="15.75" customHeight="1">
      <c r="A161" s="57">
        <f t="shared" si="1"/>
        <v>117</v>
      </c>
      <c r="B161" s="67"/>
      <c r="C161" s="68"/>
      <c r="D161" s="69"/>
      <c r="E161" s="64"/>
      <c r="F161" s="64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ht="15.75" customHeight="1">
      <c r="A162" s="57">
        <f t="shared" si="1"/>
        <v>118</v>
      </c>
      <c r="B162" s="67"/>
      <c r="C162" s="68"/>
      <c r="D162" s="69"/>
      <c r="E162" s="64"/>
      <c r="F162" s="64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ht="15.75" customHeight="1">
      <c r="A163" s="57">
        <f t="shared" si="1"/>
        <v>119</v>
      </c>
      <c r="B163" s="67"/>
      <c r="C163" s="68"/>
      <c r="D163" s="69"/>
      <c r="E163" s="64"/>
      <c r="F163" s="64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ht="15.75" customHeight="1">
      <c r="A164" s="57">
        <f t="shared" si="1"/>
        <v>120</v>
      </c>
      <c r="B164" s="67"/>
      <c r="C164" s="68"/>
      <c r="D164" s="69"/>
      <c r="E164" s="64"/>
      <c r="F164" s="64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ht="15.75" customHeight="1">
      <c r="A165" s="57">
        <f t="shared" si="1"/>
        <v>121</v>
      </c>
      <c r="B165" s="67"/>
      <c r="C165" s="68"/>
      <c r="D165" s="69"/>
      <c r="E165" s="64"/>
      <c r="F165" s="64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ht="15.75" customHeight="1">
      <c r="A166" s="57">
        <f t="shared" si="1"/>
        <v>122</v>
      </c>
      <c r="B166" s="67"/>
      <c r="C166" s="68"/>
      <c r="D166" s="69"/>
      <c r="E166" s="64"/>
      <c r="F166" s="64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ht="15.75" customHeight="1">
      <c r="A167" s="57">
        <f t="shared" si="1"/>
        <v>123</v>
      </c>
      <c r="B167" s="67"/>
      <c r="C167" s="68"/>
      <c r="D167" s="69"/>
      <c r="E167" s="64"/>
      <c r="F167" s="64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ht="15.75" customHeight="1">
      <c r="A168" s="57">
        <f t="shared" si="1"/>
        <v>124</v>
      </c>
      <c r="B168" s="67"/>
      <c r="C168" s="68"/>
      <c r="D168" s="69"/>
      <c r="E168" s="64"/>
      <c r="F168" s="64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ht="15.75" customHeight="1">
      <c r="A169" s="57">
        <f t="shared" si="1"/>
        <v>125</v>
      </c>
      <c r="B169" s="67"/>
      <c r="C169" s="68"/>
      <c r="D169" s="69"/>
      <c r="E169" s="64"/>
      <c r="F169" s="64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ht="15.75" customHeight="1">
      <c r="A170" s="57">
        <f t="shared" si="1"/>
        <v>126</v>
      </c>
      <c r="B170" s="67"/>
      <c r="C170" s="68"/>
      <c r="D170" s="69"/>
      <c r="E170" s="64"/>
      <c r="F170" s="64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ht="15.75" customHeight="1">
      <c r="A171" s="57">
        <f t="shared" si="1"/>
        <v>127</v>
      </c>
      <c r="B171" s="67"/>
      <c r="C171" s="68"/>
      <c r="D171" s="69"/>
      <c r="E171" s="64"/>
      <c r="F171" s="64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ht="15.75" customHeight="1">
      <c r="A172" s="57">
        <f t="shared" si="1"/>
        <v>128</v>
      </c>
      <c r="B172" s="67"/>
      <c r="C172" s="68"/>
      <c r="D172" s="69"/>
      <c r="E172" s="64"/>
      <c r="F172" s="64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ht="15.75" customHeight="1">
      <c r="A173" s="57">
        <f t="shared" si="1"/>
        <v>129</v>
      </c>
      <c r="B173" s="67"/>
      <c r="C173" s="68"/>
      <c r="D173" s="69"/>
      <c r="E173" s="64"/>
      <c r="F173" s="64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ht="15.75" customHeight="1">
      <c r="A174" s="57">
        <f t="shared" si="1"/>
        <v>130</v>
      </c>
      <c r="B174" s="67"/>
      <c r="C174" s="68"/>
      <c r="D174" s="69"/>
      <c r="E174" s="64"/>
      <c r="F174" s="64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ht="15.75" customHeight="1">
      <c r="A175" s="57">
        <f t="shared" si="1"/>
        <v>131</v>
      </c>
      <c r="B175" s="67"/>
      <c r="C175" s="68"/>
      <c r="D175" s="69"/>
      <c r="E175" s="64"/>
      <c r="F175" s="64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ht="15.75" customHeight="1">
      <c r="A176" s="57">
        <f t="shared" si="1"/>
        <v>132</v>
      </c>
      <c r="B176" s="67"/>
      <c r="C176" s="68"/>
      <c r="D176" s="69"/>
      <c r="E176" s="64"/>
      <c r="F176" s="64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ht="15.75" customHeight="1">
      <c r="A177" s="57">
        <f t="shared" si="1"/>
        <v>133</v>
      </c>
      <c r="B177" s="67"/>
      <c r="C177" s="68"/>
      <c r="D177" s="69"/>
      <c r="E177" s="64"/>
      <c r="F177" s="64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ht="15.75" customHeight="1">
      <c r="A178" s="57">
        <f t="shared" si="1"/>
        <v>134</v>
      </c>
      <c r="B178" s="67"/>
      <c r="C178" s="68"/>
      <c r="D178" s="69"/>
      <c r="E178" s="64"/>
      <c r="F178" s="64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ht="15.75" customHeight="1">
      <c r="A179" s="57">
        <f t="shared" si="1"/>
        <v>135</v>
      </c>
      <c r="B179" s="67"/>
      <c r="C179" s="68"/>
      <c r="D179" s="69"/>
      <c r="E179" s="64"/>
      <c r="F179" s="64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ht="15.75" customHeight="1">
      <c r="A180" s="57">
        <f t="shared" si="1"/>
        <v>136</v>
      </c>
      <c r="B180" s="67"/>
      <c r="C180" s="68"/>
      <c r="D180" s="69"/>
      <c r="E180" s="64"/>
      <c r="F180" s="64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ht="15.75" customHeight="1">
      <c r="A181" s="57">
        <f t="shared" si="1"/>
        <v>137</v>
      </c>
      <c r="B181" s="67"/>
      <c r="C181" s="68"/>
      <c r="D181" s="69"/>
      <c r="E181" s="64"/>
      <c r="F181" s="64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ht="15.75" customHeight="1">
      <c r="A182" s="57">
        <f t="shared" si="1"/>
        <v>138</v>
      </c>
      <c r="B182" s="67"/>
      <c r="C182" s="68"/>
      <c r="D182" s="69"/>
      <c r="E182" s="64"/>
      <c r="F182" s="64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ht="15.75" customHeight="1">
      <c r="A183" s="57">
        <f t="shared" si="1"/>
        <v>139</v>
      </c>
      <c r="B183" s="67"/>
      <c r="C183" s="68"/>
      <c r="D183" s="69"/>
      <c r="E183" s="64"/>
      <c r="F183" s="64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ht="15.75" customHeight="1">
      <c r="A184" s="57">
        <f t="shared" si="1"/>
        <v>140</v>
      </c>
      <c r="B184" s="67"/>
      <c r="C184" s="68"/>
      <c r="D184" s="69"/>
      <c r="E184" s="64"/>
      <c r="F184" s="64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ht="15.75" customHeight="1">
      <c r="A185" s="57">
        <f t="shared" si="1"/>
        <v>141</v>
      </c>
      <c r="B185" s="67"/>
      <c r="C185" s="68"/>
      <c r="D185" s="69"/>
      <c r="E185" s="64"/>
      <c r="F185" s="64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ht="15.75" customHeight="1">
      <c r="A186" s="57">
        <f t="shared" si="1"/>
        <v>142</v>
      </c>
      <c r="B186" s="67"/>
      <c r="C186" s="68"/>
      <c r="D186" s="69"/>
      <c r="E186" s="64"/>
      <c r="F186" s="64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ht="15.75" customHeight="1">
      <c r="A187" s="57">
        <f t="shared" si="1"/>
        <v>143</v>
      </c>
      <c r="B187" s="67"/>
      <c r="C187" s="68"/>
      <c r="D187" s="69"/>
      <c r="E187" s="64"/>
      <c r="F187" s="64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ht="15.75" customHeight="1">
      <c r="A188" s="57">
        <f t="shared" si="1"/>
        <v>144</v>
      </c>
      <c r="B188" s="67"/>
      <c r="C188" s="68"/>
      <c r="D188" s="69"/>
      <c r="E188" s="64"/>
      <c r="F188" s="64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ht="15.75" customHeight="1">
      <c r="A189" s="57">
        <f t="shared" si="1"/>
        <v>145</v>
      </c>
      <c r="B189" s="67"/>
      <c r="C189" s="68"/>
      <c r="D189" s="69"/>
      <c r="E189" s="64"/>
      <c r="F189" s="64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ht="15.75" customHeight="1">
      <c r="A190" s="57">
        <f t="shared" si="1"/>
        <v>146</v>
      </c>
      <c r="B190" s="67"/>
      <c r="C190" s="68"/>
      <c r="D190" s="69"/>
      <c r="E190" s="64"/>
      <c r="F190" s="64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ht="15.75" customHeight="1">
      <c r="A191" s="57">
        <f t="shared" si="1"/>
        <v>147</v>
      </c>
      <c r="B191" s="67"/>
      <c r="C191" s="68"/>
      <c r="D191" s="69"/>
      <c r="E191" s="64"/>
      <c r="F191" s="64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ht="15.75" customHeight="1">
      <c r="A192" s="57">
        <f t="shared" si="1"/>
        <v>148</v>
      </c>
      <c r="B192" s="67"/>
      <c r="C192" s="68"/>
      <c r="D192" s="69"/>
      <c r="E192" s="64"/>
      <c r="F192" s="64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ht="15.75" customHeight="1">
      <c r="A193" s="57">
        <f t="shared" si="1"/>
        <v>149</v>
      </c>
      <c r="B193" s="67"/>
      <c r="C193" s="68"/>
      <c r="D193" s="69"/>
      <c r="E193" s="64"/>
      <c r="F193" s="64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ht="15.75" customHeight="1">
      <c r="A194" s="70">
        <f t="shared" si="1"/>
        <v>150</v>
      </c>
      <c r="B194" s="71"/>
      <c r="C194" s="72"/>
      <c r="D194" s="73"/>
      <c r="E194" s="74"/>
      <c r="F194" s="7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ht="15.75" customHeight="1">
      <c r="A195" s="5"/>
      <c r="B195" s="5"/>
      <c r="C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ht="15.75" customHeight="1">
      <c r="A196" s="5"/>
      <c r="B196" s="5"/>
      <c r="C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ht="15.75" customHeight="1">
      <c r="A197" s="5"/>
      <c r="B197" s="5"/>
      <c r="C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ht="15.75" customHeight="1">
      <c r="A198" s="5"/>
      <c r="B198" s="44"/>
      <c r="D198" s="76"/>
      <c r="E198" s="76"/>
      <c r="F198" s="76"/>
      <c r="G198" s="76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ht="15.75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ht="15.75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ht="15.75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ht="15.75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ht="15.75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ht="15.75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ht="15.75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ht="15.75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ht="15.75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ht="15.75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ht="15.75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ht="15.75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ht="15.75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ht="15.75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ht="15.75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ht="15.75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ht="15.75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ht="15.75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ht="15.75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ht="15.75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ht="15.75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ht="15.75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ht="15.75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ht="15.75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ht="15.75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ht="15.75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ht="15.75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ht="15.75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ht="15.75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ht="15.75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ht="15.75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ht="15.75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ht="15.75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ht="15.75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ht="15.75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ht="15.75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ht="15.75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ht="15.75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ht="15.75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ht="15.75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ht="15.75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ht="15.75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ht="15.75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ht="15.75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ht="15.75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ht="15.75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ht="15.75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ht="15.75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ht="15.75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ht="15.75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ht="15.75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ht="15.75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ht="15.75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ht="15.75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ht="15.75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ht="15.75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ht="15.75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ht="15.75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ht="15.75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ht="15.75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ht="15.75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ht="15.75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ht="15.75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ht="15.75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ht="15.75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ht="15.75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ht="15.75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ht="15.75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ht="15.75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ht="15.75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ht="15.75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ht="15.75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ht="15.75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ht="15.75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ht="15.75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ht="15.75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ht="15.75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ht="15.75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ht="15.75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ht="15.75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ht="15.75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ht="15.75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ht="15.75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ht="15.75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ht="15.75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ht="15.75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ht="15.75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ht="15.75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ht="15.75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ht="15.75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ht="15.75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ht="15.75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ht="15.75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ht="15.75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ht="15.75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ht="15.75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ht="15.75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ht="15.75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ht="15.75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ht="15.75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ht="15.75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ht="15.75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ht="15.75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ht="15.75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ht="15.75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ht="15.75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ht="15.75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ht="15.75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ht="15.75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ht="15.75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ht="15.75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ht="15.75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ht="15.75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ht="15.75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ht="15.75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ht="15.75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ht="15.75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ht="15.75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ht="15.75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ht="15.75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ht="15.75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ht="15.75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ht="15.75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ht="15.75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ht="15.75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ht="15.75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ht="15.75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ht="15.75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ht="15.75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ht="15.75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ht="15.75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ht="15.75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ht="15.75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ht="15.75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ht="15.75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ht="15.75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ht="15.75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ht="15.75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ht="15.75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ht="15.75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ht="15.75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ht="15.75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ht="15.75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ht="15.75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ht="15.75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ht="15.75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ht="15.75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ht="15.75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ht="15.75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ht="15.75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ht="15.75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ht="15.75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ht="15.75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ht="15.75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ht="15.75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ht="15.75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ht="15.75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ht="15.75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ht="15.75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ht="15.75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ht="15.75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ht="15.75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ht="15.75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ht="15.75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ht="15.75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ht="15.75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ht="15.75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ht="15.75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ht="15.75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ht="15.75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ht="15.75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ht="15.75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ht="15.75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ht="15.75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ht="15.75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ht="15.75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ht="15.75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ht="15.75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ht="15.75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ht="15.75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ht="15.75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ht="15.75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ht="15.75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ht="15.75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ht="15.75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ht="15.75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ht="15.75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ht="15.75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ht="15.75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ht="15.75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ht="15.75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ht="15.75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ht="15.75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ht="15.75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ht="15.75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ht="15.75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ht="15.75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ht="15.75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ht="15.75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ht="15.75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ht="15.75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ht="15.75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ht="15.75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ht="15.75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ht="15.75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ht="15.75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ht="15.75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ht="15.75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ht="15.75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ht="15.75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ht="15.75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ht="15.75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ht="15.75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ht="15.75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ht="15.75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ht="15.75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ht="15.75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ht="15.75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ht="15.75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ht="15.75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ht="15.75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ht="15.75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ht="15.75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ht="15.75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ht="15.75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ht="15.75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ht="15.75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ht="15.75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ht="15.75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ht="15.75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ht="15.75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ht="15.75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ht="15.75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ht="15.75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ht="15.75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ht="15.75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ht="15.75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ht="15.75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ht="15.75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ht="15.75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ht="15.75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ht="15.75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ht="15.75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ht="15.75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ht="15.75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ht="15.75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ht="15.75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ht="15.75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ht="15.75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ht="15.75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ht="15.75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ht="15.75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ht="15.75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ht="15.75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ht="15.75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ht="15.75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ht="15.75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ht="15.75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ht="15.75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ht="15.75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ht="15.75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ht="15.75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ht="15.75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ht="15.75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ht="15.75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ht="15.75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ht="15.75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ht="15.75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ht="15.75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ht="15.75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ht="15.75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ht="15.75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ht="15.75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ht="15.75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ht="15.75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ht="15.75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ht="15.75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ht="15.75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ht="15.75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ht="15.75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ht="15.75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ht="15.75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ht="15.75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ht="15.75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ht="15.75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ht="15.75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ht="15.75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ht="15.75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ht="15.75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ht="15.75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ht="15.75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ht="15.75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ht="15.75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ht="15.75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ht="15.75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ht="15.75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ht="15.75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ht="15.75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ht="15.75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ht="15.75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ht="15.75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ht="15.75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ht="15.75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ht="15.75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ht="15.75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ht="15.75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ht="15.75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ht="15.75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ht="15.75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ht="15.75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ht="15.75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ht="15.75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ht="15.75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ht="15.75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ht="15.75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ht="15.75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ht="15.75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ht="15.75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ht="15.75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ht="15.75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ht="15.75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ht="15.75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ht="15.75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ht="15.75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ht="15.75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ht="15.75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ht="15.75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ht="15.75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ht="15.75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ht="15.75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ht="15.75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ht="15.75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ht="15.75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ht="15.75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ht="15.75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ht="15.75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ht="15.75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ht="15.75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ht="15.75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ht="15.75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ht="15.75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ht="15.75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ht="15.75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ht="15.75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ht="15.75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ht="15.75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ht="15.75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ht="15.75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ht="15.75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ht="15.75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ht="15.75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ht="15.75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ht="15.75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ht="15.75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ht="15.75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ht="15.75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ht="15.75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ht="15.75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ht="15.75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ht="15.75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ht="15.75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ht="15.75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ht="15.75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ht="15.75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ht="15.75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ht="15.75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ht="15.75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ht="15.75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ht="15.75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ht="15.75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ht="15.75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ht="15.75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ht="15.75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ht="15.75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ht="15.75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ht="15.75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ht="15.75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ht="15.75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ht="15.75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ht="15.75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ht="15.75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ht="15.75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ht="15.75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ht="15.75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ht="15.75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ht="15.75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ht="15.75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ht="15.75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ht="15.75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ht="15.75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ht="15.75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ht="15.75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ht="15.75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ht="15.75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ht="15.75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ht="15.75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ht="15.75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ht="15.75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ht="15.75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ht="15.75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ht="15.75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ht="15.75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ht="15.75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ht="15.75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ht="15.75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ht="15.75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ht="15.75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ht="15.75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ht="15.75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ht="15.75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ht="15.75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ht="15.75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ht="15.75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ht="15.75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ht="15.75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ht="15.75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ht="15.75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ht="15.75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ht="15.75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ht="15.75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ht="15.75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ht="15.75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ht="15.75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ht="15.75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ht="15.75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ht="15.75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ht="15.75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ht="15.75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ht="15.75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ht="15.75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ht="15.75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ht="15.75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ht="15.75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ht="15.75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ht="15.75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ht="15.75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ht="15.75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ht="15.75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ht="15.75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ht="15.75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ht="15.75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ht="15.75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ht="15.75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ht="15.75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ht="15.75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ht="15.75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ht="15.75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ht="15.75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ht="15.75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ht="15.75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ht="15.75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ht="15.75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ht="15.75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ht="15.75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ht="15.75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ht="15.75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ht="15.75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ht="15.75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ht="15.75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ht="15.75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ht="15.75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ht="15.75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ht="15.75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ht="15.75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ht="15.75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ht="15.75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ht="15.75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ht="15.75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ht="15.75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ht="15.75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ht="15.75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ht="15.75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ht="15.75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ht="15.75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ht="15.75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ht="15.75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ht="15.75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</row>
    <row r="702" ht="15.75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</row>
    <row r="703" ht="15.75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</row>
    <row r="704" ht="15.75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</row>
    <row r="705" ht="15.75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</row>
    <row r="706" ht="15.75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</row>
    <row r="707" ht="15.75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</row>
    <row r="708" ht="15.75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</row>
    <row r="709" ht="15.75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</row>
    <row r="710" ht="15.75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</row>
    <row r="711" ht="15.75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</row>
    <row r="712" ht="15.75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</row>
    <row r="713" ht="15.75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</row>
    <row r="714" ht="15.75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</row>
    <row r="715" ht="15.75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</row>
    <row r="716" ht="15.75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</row>
    <row r="717" ht="15.75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</row>
    <row r="718" ht="15.75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</row>
    <row r="719" ht="15.75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</row>
    <row r="720" ht="15.75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</row>
    <row r="721" ht="15.75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</row>
    <row r="722" ht="15.75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</row>
    <row r="723" ht="15.75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</row>
    <row r="724" ht="15.75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</row>
    <row r="725" ht="15.75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</row>
    <row r="726" ht="15.75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</row>
    <row r="727" ht="15.75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</row>
    <row r="728" ht="15.75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</row>
    <row r="729" ht="15.75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</row>
    <row r="730" ht="15.75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</row>
    <row r="731" ht="15.75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</row>
    <row r="732" ht="15.75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</row>
    <row r="733" ht="15.75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</row>
    <row r="734" ht="15.75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</row>
    <row r="735" ht="15.75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</row>
    <row r="736" ht="15.75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</row>
    <row r="737" ht="15.75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</row>
    <row r="738" ht="15.75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</row>
    <row r="739" ht="15.75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</row>
    <row r="740" ht="15.75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</row>
    <row r="741" ht="15.75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</row>
    <row r="742" ht="15.75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</row>
    <row r="743" ht="15.75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</row>
    <row r="744" ht="15.75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</row>
    <row r="745" ht="15.75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</row>
    <row r="746" ht="15.75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</row>
    <row r="747" ht="15.75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</row>
    <row r="748" ht="15.75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</row>
    <row r="749" ht="15.75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</row>
    <row r="750" ht="15.75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</row>
    <row r="751" ht="15.75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</row>
    <row r="752" ht="15.75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</row>
    <row r="753" ht="15.75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</row>
    <row r="754" ht="15.75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</row>
    <row r="755" ht="15.75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</row>
    <row r="756" ht="15.75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</row>
    <row r="757" ht="15.75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</row>
    <row r="758" ht="15.75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</row>
    <row r="759" ht="15.75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</row>
    <row r="760" ht="15.75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</row>
    <row r="761" ht="15.75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</row>
    <row r="762" ht="15.75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</row>
    <row r="763" ht="15.75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</row>
    <row r="764" ht="15.75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</row>
    <row r="765" ht="15.75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</row>
    <row r="766" ht="15.75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</row>
    <row r="767" ht="15.75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</row>
    <row r="768" ht="15.75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</row>
    <row r="769" ht="15.75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</row>
    <row r="770" ht="15.75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</row>
    <row r="771" ht="15.75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</row>
    <row r="772" ht="15.75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</row>
    <row r="773" ht="15.75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</row>
    <row r="774" ht="15.75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</row>
    <row r="775" ht="15.75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</row>
    <row r="776" ht="15.75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</row>
    <row r="777" ht="15.75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</row>
    <row r="778" ht="15.75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</row>
    <row r="779" ht="15.75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</row>
    <row r="780" ht="15.75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</row>
    <row r="781" ht="15.75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</row>
    <row r="782" ht="15.75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</row>
    <row r="783" ht="15.75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</row>
    <row r="784" ht="15.75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</row>
    <row r="785" ht="15.75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</row>
    <row r="786" ht="15.75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</row>
    <row r="787" ht="15.75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</row>
    <row r="788" ht="15.75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</row>
    <row r="789" ht="15.75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</row>
    <row r="790" ht="15.75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</row>
    <row r="791" ht="15.75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</row>
    <row r="792" ht="15.75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</row>
    <row r="793" ht="15.75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</row>
    <row r="794" ht="15.75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</row>
    <row r="795" ht="15.75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</row>
    <row r="796" ht="15.75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</row>
    <row r="797" ht="15.75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</row>
    <row r="798" ht="15.75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</row>
    <row r="799" ht="15.75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</row>
    <row r="800" ht="15.75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</row>
    <row r="801" ht="15.75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</row>
    <row r="802" ht="15.75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</row>
    <row r="803" ht="15.75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</row>
    <row r="804" ht="15.75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</row>
    <row r="805" ht="15.75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</row>
    <row r="806" ht="15.75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</row>
    <row r="807" ht="15.75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</row>
    <row r="808" ht="15.75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</row>
    <row r="809" ht="15.75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</row>
    <row r="810" ht="15.75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</row>
    <row r="811" ht="15.75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</row>
    <row r="812" ht="15.75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</row>
    <row r="813" ht="15.75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</row>
    <row r="814" ht="15.75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</row>
    <row r="815" ht="15.75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</row>
    <row r="816" ht="15.75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</row>
    <row r="817" ht="15.75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</row>
    <row r="818" ht="15.75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</row>
    <row r="819" ht="15.75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</row>
    <row r="820" ht="15.75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</row>
    <row r="821" ht="15.75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</row>
    <row r="822" ht="15.75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</row>
    <row r="823" ht="15.75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</row>
    <row r="824" ht="15.75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</row>
    <row r="825" ht="15.75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</row>
    <row r="826" ht="15.75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</row>
    <row r="827" ht="15.75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</row>
    <row r="828" ht="15.75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</row>
    <row r="829" ht="15.75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</row>
    <row r="830" ht="15.75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</row>
    <row r="831" ht="15.75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</row>
    <row r="832" ht="15.75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</row>
    <row r="833" ht="15.75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</row>
    <row r="834" ht="15.75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</row>
    <row r="835" ht="15.75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</row>
    <row r="836" ht="15.75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</row>
    <row r="837" ht="15.75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</row>
    <row r="838" ht="15.75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</row>
    <row r="839" ht="15.75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</row>
    <row r="840" ht="15.75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</row>
    <row r="841" ht="15.75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</row>
    <row r="842" ht="15.75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</row>
    <row r="843" ht="15.75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</row>
    <row r="844" ht="15.75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</row>
    <row r="845" ht="15.75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</row>
    <row r="846" ht="15.75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</row>
    <row r="847" ht="15.75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</row>
    <row r="848" ht="15.75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</row>
    <row r="849" ht="15.75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</row>
    <row r="850" ht="15.75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</row>
    <row r="851" ht="15.75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</row>
    <row r="852" ht="15.75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</row>
    <row r="853" ht="15.75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</row>
    <row r="854" ht="15.75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</row>
    <row r="855" ht="15.75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</row>
    <row r="856" ht="15.75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</row>
    <row r="857" ht="15.75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</row>
    <row r="858" ht="15.75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</row>
    <row r="859" ht="15.75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</row>
    <row r="860" ht="15.75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</row>
    <row r="861" ht="15.75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</row>
    <row r="862" ht="15.75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</row>
    <row r="863" ht="15.75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</row>
    <row r="864" ht="15.75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</row>
    <row r="865" ht="15.75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</row>
    <row r="866" ht="15.75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</row>
    <row r="867" ht="15.75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</row>
    <row r="868" ht="15.75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</row>
    <row r="869" ht="15.75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</row>
    <row r="870" ht="15.75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</row>
    <row r="871" ht="15.75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</row>
    <row r="872" ht="15.75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</row>
    <row r="873" ht="15.75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</row>
    <row r="874" ht="15.75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</row>
    <row r="875" ht="15.75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</row>
    <row r="876" ht="15.75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</row>
    <row r="877" ht="15.75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</row>
    <row r="878" ht="15.75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</row>
    <row r="879" ht="15.75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</row>
    <row r="880" ht="15.75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</row>
    <row r="881" ht="15.75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</row>
    <row r="882" ht="15.75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</row>
    <row r="883" ht="15.75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</row>
    <row r="884" ht="15.75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</row>
    <row r="885" ht="15.75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</row>
    <row r="886" ht="15.75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</row>
    <row r="887" ht="15.75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</row>
    <row r="888" ht="15.75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</row>
    <row r="889" ht="15.75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</row>
    <row r="890" ht="15.75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</row>
    <row r="891" ht="15.75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</row>
    <row r="892" ht="15.75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</row>
    <row r="893" ht="15.75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</row>
    <row r="894" ht="15.75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</row>
    <row r="895" ht="15.75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</row>
    <row r="896" ht="15.75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</row>
    <row r="897" ht="15.75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</row>
    <row r="898" ht="15.75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</row>
    <row r="899" ht="15.75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</row>
    <row r="900" ht="15.75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</row>
    <row r="901" ht="15.75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</row>
    <row r="902" ht="15.75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</row>
    <row r="903" ht="15.75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</row>
    <row r="904" ht="15.75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</row>
    <row r="905" ht="15.75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</row>
    <row r="906" ht="15.75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</row>
    <row r="907" ht="15.75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</row>
    <row r="908" ht="15.75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</row>
    <row r="909" ht="15.75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</row>
    <row r="910" ht="15.75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</row>
    <row r="911" ht="15.75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</row>
    <row r="912" ht="15.75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</row>
    <row r="913" ht="15.75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</row>
    <row r="914" ht="15.75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</row>
    <row r="915" ht="15.75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</row>
    <row r="916" ht="15.75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</row>
    <row r="917" ht="15.75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</row>
    <row r="918" ht="15.75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</row>
    <row r="919" ht="15.75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</row>
    <row r="920" ht="15.75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</row>
    <row r="921" ht="15.75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</row>
    <row r="922" ht="15.75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</row>
    <row r="923" ht="15.75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</row>
    <row r="924" ht="15.75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</row>
    <row r="925" ht="15.75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</row>
    <row r="926" ht="15.75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</row>
    <row r="927" ht="15.75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</row>
    <row r="928" ht="15.75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</row>
    <row r="929" ht="15.75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</row>
    <row r="930" ht="15.75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</row>
    <row r="931" ht="15.75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</row>
    <row r="932" ht="15.75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</row>
    <row r="933" ht="15.75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</row>
    <row r="934" ht="15.75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</row>
    <row r="935" ht="15.75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</row>
    <row r="936" ht="15.75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</row>
    <row r="937" ht="15.75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</row>
    <row r="938" ht="15.75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</row>
    <row r="939" ht="15.75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</row>
    <row r="940" ht="15.75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</row>
    <row r="941" ht="15.75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</row>
    <row r="942" ht="15.75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</row>
    <row r="943" ht="15.75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</row>
    <row r="944" ht="15.75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</row>
    <row r="945" ht="15.75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</row>
    <row r="946" ht="15.75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</row>
    <row r="947" ht="15.75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</row>
    <row r="948" ht="15.75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</row>
    <row r="949" ht="15.75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</row>
    <row r="950" ht="15.75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</row>
    <row r="951" ht="15.75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</row>
    <row r="952" ht="15.75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</row>
    <row r="953" ht="15.75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</row>
    <row r="954" ht="15.75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</row>
    <row r="955" ht="15.75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</row>
    <row r="956" ht="15.75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</row>
    <row r="957" ht="15.75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</row>
    <row r="958" ht="15.75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</row>
    <row r="959" ht="15.75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</row>
    <row r="960" ht="15.75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</row>
    <row r="961" ht="15.75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</row>
    <row r="962" ht="15.75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</row>
    <row r="963" ht="15.75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</row>
    <row r="964" ht="15.75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</row>
    <row r="965" ht="15.75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</row>
    <row r="966" ht="15.75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</row>
    <row r="967" ht="15.75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</row>
    <row r="968" ht="15.75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</row>
    <row r="969" ht="15.75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</row>
    <row r="970" ht="15.75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</row>
    <row r="971" ht="15.75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</row>
    <row r="972" ht="15.75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</row>
    <row r="973" ht="15.75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</row>
    <row r="974" ht="15.75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</row>
    <row r="975" ht="15.75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</row>
    <row r="976" ht="15.75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</row>
    <row r="977" ht="15.75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</row>
    <row r="978" ht="15.75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</row>
    <row r="979" ht="15.75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</row>
    <row r="980" ht="15.75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</row>
    <row r="981" ht="15.75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</row>
    <row r="982" ht="15.75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</row>
    <row r="983" ht="15.75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</row>
    <row r="984" ht="15.75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</row>
    <row r="985" ht="15.75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</row>
    <row r="986" ht="15.75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</row>
    <row r="987" ht="15.75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</row>
    <row r="988" ht="15.75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</row>
    <row r="989" ht="15.75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</row>
    <row r="990" ht="15.75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</row>
    <row r="991" ht="15.75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</row>
    <row r="992" ht="15.75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</row>
    <row r="993" ht="15.75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</row>
    <row r="994" ht="15.75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</row>
    <row r="995" ht="15.75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</row>
    <row r="996" ht="15.75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</row>
    <row r="997" ht="15.75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</row>
    <row r="998" ht="15.75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</row>
    <row r="999" ht="15.75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</row>
    <row r="1000" ht="15.75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</row>
  </sheetData>
  <mergeCells count="1">
    <mergeCell ref="B198:C198"/>
  </mergeCells>
  <dataValidations>
    <dataValidation type="list" allowBlank="1" showErrorMessage="1" sqref="Q7:Q13">
      <formula1>#REF!</formula1>
    </dataValidation>
    <dataValidation type="list" allowBlank="1" showErrorMessage="1" sqref="D36:E41 E45:E194">
      <formula1>"Pizza Cheese,Pizza Pepperoni,Pizza Pep and Sausage"</formula1>
    </dataValidation>
    <dataValidation type="list" allowBlank="1" showInputMessage="1" showErrorMessage="1" prompt="Category" sqref="D45:D72">
      <formula1>"4th,5th,Prealgebra,Algebra I,Geometry"</formula1>
    </dataValidation>
    <dataValidation type="list" allowBlank="1" showErrorMessage="1" sqref="F36:F41 F45:F194">
      <formula1>"Youth Small,Youth Medium,Youth Large,Youth XL,Adult small,Adult Medium,Adult Large,Adult XL,Adult 2XL"</formula1>
    </dataValidation>
  </dataValidations>
  <printOptions/>
  <pageMargins bottom="0.5" footer="0.0" header="0.0" left="0.5" right="0.5" top="0.75"/>
  <pageSetup fitToHeight="0" orientation="landscape"/>
  <headerFooter>
    <oddHeader>&amp;CChiles High School Mini-Mu Registration 2018</oddHead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3.71"/>
    <col customWidth="1" min="2" max="2" width="21.14"/>
    <col customWidth="1" min="3" max="3" width="13.0"/>
    <col customWidth="1" min="4" max="4" width="18.71"/>
    <col customWidth="1" min="5" max="8" width="8.71"/>
    <col customWidth="1" min="9" max="9" width="8.43"/>
    <col customWidth="1" min="10" max="10" width="8.71"/>
    <col customWidth="1" min="11" max="11" width="10.43"/>
    <col customWidth="1" min="12" max="13" width="8.71"/>
    <col customWidth="1" min="14" max="14" width="12.43"/>
    <col customWidth="1" min="15" max="26" width="8.71"/>
  </cols>
  <sheetData>
    <row r="1" ht="21.0" customHeight="1">
      <c r="A1" s="77" t="s">
        <v>56</v>
      </c>
      <c r="D1" s="78"/>
    </row>
    <row r="2">
      <c r="B2" s="77" t="s">
        <v>57</v>
      </c>
    </row>
    <row r="3">
      <c r="A3" s="79" t="s">
        <v>47</v>
      </c>
      <c r="B3" s="80" t="s">
        <v>58</v>
      </c>
      <c r="C3" s="81" t="s">
        <v>59</v>
      </c>
      <c r="D3" s="82" t="s">
        <v>60</v>
      </c>
      <c r="E3" s="83" t="s">
        <v>61</v>
      </c>
      <c r="F3" s="81" t="s">
        <v>62</v>
      </c>
      <c r="G3" s="81" t="s">
        <v>63</v>
      </c>
      <c r="H3" s="81" t="s">
        <v>64</v>
      </c>
      <c r="I3" s="81" t="s">
        <v>65</v>
      </c>
      <c r="J3" s="81" t="s">
        <v>66</v>
      </c>
      <c r="K3" s="84" t="s">
        <v>67</v>
      </c>
      <c r="L3" s="81" t="s">
        <v>68</v>
      </c>
      <c r="M3" s="81" t="s">
        <v>69</v>
      </c>
      <c r="N3" s="81" t="s">
        <v>70</v>
      </c>
      <c r="O3" s="81" t="s">
        <v>71</v>
      </c>
      <c r="P3" s="81" t="s">
        <v>72</v>
      </c>
      <c r="Q3" s="81" t="s">
        <v>73</v>
      </c>
      <c r="R3" s="81" t="s">
        <v>74</v>
      </c>
      <c r="S3" s="81" t="s">
        <v>75</v>
      </c>
      <c r="T3" s="84" t="s">
        <v>76</v>
      </c>
      <c r="U3" s="83" t="s">
        <v>77</v>
      </c>
      <c r="V3" s="85" t="s">
        <v>78</v>
      </c>
    </row>
    <row r="4">
      <c r="B4" s="77" t="str">
        <f>Sheet1!C1</f>
        <v>Enter School Name Here</v>
      </c>
      <c r="C4" s="77" t="str">
        <f>D1</f>
        <v/>
      </c>
      <c r="D4" s="77">
        <f>Sheet1!C16</f>
        <v>1</v>
      </c>
      <c r="E4" s="77">
        <f>Sheet1!C18 +Sheet1!C19</f>
        <v>0</v>
      </c>
      <c r="F4" s="77">
        <f>Sheet1!C20</f>
        <v>1</v>
      </c>
      <c r="G4" s="77">
        <f>Sheet1!C21</f>
        <v>0</v>
      </c>
      <c r="H4" s="77">
        <f>Sheet1!C22</f>
        <v>0</v>
      </c>
      <c r="I4" s="77">
        <f>Sheet1!B26</f>
        <v>1</v>
      </c>
      <c r="J4" s="77">
        <f>Sheet1!C26</f>
        <v>0</v>
      </c>
      <c r="K4" s="77" t="str">
        <f>Sheet1!D27</f>
        <v/>
      </c>
      <c r="L4" s="77">
        <f>Sheet1!B29</f>
        <v>1</v>
      </c>
      <c r="M4" s="77">
        <f>Sheet1!C29</f>
        <v>0</v>
      </c>
      <c r="N4" s="77">
        <f>Sheet1!D29</f>
        <v>0</v>
      </c>
      <c r="O4" s="77">
        <f>Sheet1!E29</f>
        <v>0</v>
      </c>
      <c r="P4" s="77">
        <f>Sheet1!B31</f>
        <v>0</v>
      </c>
      <c r="Q4" s="77">
        <f>Sheet1!C31</f>
        <v>0</v>
      </c>
      <c r="R4" s="77">
        <f>Sheet1!D31</f>
        <v>0</v>
      </c>
      <c r="S4" s="86" t="str">
        <f>Sheet2!E29</f>
        <v/>
      </c>
      <c r="U4" s="87">
        <f>Sheet1!D13</f>
        <v>27</v>
      </c>
    </row>
    <row r="7">
      <c r="A7" s="77" t="s">
        <v>79</v>
      </c>
      <c r="I7" s="88" t="s">
        <v>80</v>
      </c>
      <c r="J7" s="89"/>
    </row>
    <row r="8" ht="14.25" customHeight="1">
      <c r="A8" s="77" t="s">
        <v>81</v>
      </c>
      <c r="B8" s="77" t="s">
        <v>82</v>
      </c>
      <c r="C8" s="77" t="s">
        <v>83</v>
      </c>
      <c r="D8" s="77" t="s">
        <v>84</v>
      </c>
      <c r="E8" s="77" t="s">
        <v>85</v>
      </c>
      <c r="I8" s="90" t="s">
        <v>86</v>
      </c>
      <c r="J8" s="91"/>
      <c r="K8" s="92"/>
      <c r="L8" s="93">
        <v>6001.0</v>
      </c>
      <c r="O8" s="94"/>
    </row>
    <row r="9" ht="14.25" customHeight="1">
      <c r="A9" s="77" t="str">
        <f t="shared" ref="A9:A174" si="1">CONCATENATE(G9,F9)</f>
        <v>130</v>
      </c>
      <c r="B9" s="95" t="str">
        <f>Sheet1!B45</f>
        <v>Johnny</v>
      </c>
      <c r="C9" s="95" t="str">
        <f>Sheet1!C45</f>
        <v>Doe</v>
      </c>
      <c r="D9" s="95" t="str">
        <f>Sheet1!$C$1</f>
        <v>Enter School Name Here</v>
      </c>
      <c r="E9" s="95" t="str">
        <f>Sheet1!D45</f>
        <v>Prealgebra</v>
      </c>
      <c r="F9" s="77">
        <f t="shared" ref="F9:F174" si="2">IF(E9="4th",40,0)+IF(E9="5th",50,0)+IF(E9="Algebra I",10,0)+IF(E9="Geometry",20,0)+IF(E9="Prealgebra",30,0)</f>
        <v>30</v>
      </c>
      <c r="G9" s="96">
        <f>D1*1000+1</f>
        <v>1</v>
      </c>
      <c r="I9" s="97" t="s">
        <v>87</v>
      </c>
      <c r="J9" s="98"/>
      <c r="K9" s="99"/>
      <c r="L9" s="100">
        <v>6002.0</v>
      </c>
    </row>
    <row r="10" ht="14.25" customHeight="1">
      <c r="A10" s="77" t="str">
        <f t="shared" si="1"/>
        <v>20</v>
      </c>
      <c r="B10" s="95" t="str">
        <f>Sheet1!B46</f>
        <v/>
      </c>
      <c r="C10" s="95" t="str">
        <f>Sheet1!C46</f>
        <v/>
      </c>
      <c r="D10" s="95" t="str">
        <f>Sheet1!$C$1</f>
        <v>Enter School Name Here</v>
      </c>
      <c r="E10" s="95" t="str">
        <f>Sheet1!D46</f>
        <v/>
      </c>
      <c r="F10" s="77">
        <f t="shared" si="2"/>
        <v>0</v>
      </c>
      <c r="G10" s="96">
        <f t="shared" ref="G10:G174" si="3">G9+1</f>
        <v>2</v>
      </c>
      <c r="I10" s="97" t="s">
        <v>88</v>
      </c>
      <c r="J10" s="98"/>
      <c r="K10" s="99"/>
      <c r="L10" s="100">
        <v>6003.0</v>
      </c>
    </row>
    <row r="11" ht="14.25" customHeight="1">
      <c r="A11" s="77" t="str">
        <f t="shared" si="1"/>
        <v>30</v>
      </c>
      <c r="B11" s="95" t="str">
        <f>Sheet1!B47</f>
        <v/>
      </c>
      <c r="C11" s="95" t="str">
        <f>Sheet1!C47</f>
        <v/>
      </c>
      <c r="D11" s="95" t="str">
        <f>Sheet1!$C$1</f>
        <v>Enter School Name Here</v>
      </c>
      <c r="E11" s="95" t="str">
        <f>Sheet1!D47</f>
        <v/>
      </c>
      <c r="F11" s="77">
        <f t="shared" si="2"/>
        <v>0</v>
      </c>
      <c r="G11" s="96">
        <f t="shared" si="3"/>
        <v>3</v>
      </c>
      <c r="I11" s="97" t="s">
        <v>89</v>
      </c>
      <c r="J11" s="98"/>
      <c r="K11" s="99"/>
      <c r="L11" s="100">
        <v>6020.0</v>
      </c>
    </row>
    <row r="12" ht="14.25" customHeight="1">
      <c r="A12" s="77" t="str">
        <f t="shared" si="1"/>
        <v>40</v>
      </c>
      <c r="B12" s="95" t="str">
        <f>Sheet1!B48</f>
        <v/>
      </c>
      <c r="C12" s="95" t="str">
        <f>Sheet1!C48</f>
        <v/>
      </c>
      <c r="D12" s="95" t="str">
        <f>Sheet1!$C$1</f>
        <v>Enter School Name Here</v>
      </c>
      <c r="E12" s="95" t="str">
        <f>Sheet1!D48</f>
        <v/>
      </c>
      <c r="F12" s="77">
        <f t="shared" si="2"/>
        <v>0</v>
      </c>
      <c r="G12" s="96">
        <f t="shared" si="3"/>
        <v>4</v>
      </c>
      <c r="I12" s="97" t="s">
        <v>90</v>
      </c>
      <c r="J12" s="98"/>
      <c r="K12" s="99"/>
      <c r="L12" s="100">
        <v>6004.0</v>
      </c>
    </row>
    <row r="13" ht="14.25" customHeight="1">
      <c r="A13" s="77" t="str">
        <f t="shared" si="1"/>
        <v>50</v>
      </c>
      <c r="B13" s="95" t="str">
        <f>Sheet1!B49</f>
        <v/>
      </c>
      <c r="C13" s="95" t="str">
        <f>Sheet1!C49</f>
        <v/>
      </c>
      <c r="D13" s="95" t="str">
        <f>Sheet1!$C$1</f>
        <v>Enter School Name Here</v>
      </c>
      <c r="E13" s="95" t="str">
        <f>Sheet1!D49</f>
        <v/>
      </c>
      <c r="F13" s="77">
        <f t="shared" si="2"/>
        <v>0</v>
      </c>
      <c r="G13" s="96">
        <f t="shared" si="3"/>
        <v>5</v>
      </c>
      <c r="I13" s="97" t="s">
        <v>91</v>
      </c>
      <c r="J13" s="98"/>
      <c r="K13" s="99"/>
      <c r="L13" s="100">
        <v>8002.0</v>
      </c>
    </row>
    <row r="14" ht="14.25" customHeight="1">
      <c r="A14" s="77" t="str">
        <f t="shared" si="1"/>
        <v>60</v>
      </c>
      <c r="B14" s="95" t="str">
        <f>Sheet1!B50</f>
        <v/>
      </c>
      <c r="C14" s="95" t="str">
        <f>Sheet1!C50</f>
        <v/>
      </c>
      <c r="D14" s="95" t="str">
        <f>Sheet1!$C$1</f>
        <v>Enter School Name Here</v>
      </c>
      <c r="E14" s="95" t="str">
        <f>Sheet1!D50</f>
        <v/>
      </c>
      <c r="F14" s="77">
        <f t="shared" si="2"/>
        <v>0</v>
      </c>
      <c r="G14" s="96">
        <f t="shared" si="3"/>
        <v>6</v>
      </c>
      <c r="I14" s="97" t="s">
        <v>92</v>
      </c>
      <c r="J14" s="98"/>
      <c r="K14" s="99"/>
      <c r="L14" s="100">
        <v>1660.0</v>
      </c>
    </row>
    <row r="15" ht="14.25" customHeight="1">
      <c r="A15" s="77" t="str">
        <f t="shared" si="1"/>
        <v>70</v>
      </c>
      <c r="B15" s="95" t="str">
        <f>Sheet1!B51</f>
        <v/>
      </c>
      <c r="C15" s="95" t="str">
        <f>Sheet1!C51</f>
        <v/>
      </c>
      <c r="D15" s="95" t="str">
        <f>Sheet1!$C$1</f>
        <v>Enter School Name Here</v>
      </c>
      <c r="E15" s="95" t="str">
        <f>Sheet1!D51</f>
        <v/>
      </c>
      <c r="F15" s="77">
        <f t="shared" si="2"/>
        <v>0</v>
      </c>
      <c r="G15" s="96">
        <f t="shared" si="3"/>
        <v>7</v>
      </c>
      <c r="I15" s="97" t="s">
        <v>93</v>
      </c>
      <c r="J15" s="98"/>
      <c r="K15" s="99"/>
      <c r="L15" s="100">
        <v>6021.0</v>
      </c>
    </row>
    <row r="16" ht="14.25" customHeight="1">
      <c r="A16" s="77" t="str">
        <f t="shared" si="1"/>
        <v>80</v>
      </c>
      <c r="B16" s="95" t="str">
        <f>Sheet1!B52</f>
        <v/>
      </c>
      <c r="C16" s="95" t="str">
        <f>Sheet1!C52</f>
        <v/>
      </c>
      <c r="D16" s="95" t="str">
        <f>Sheet1!$C$1</f>
        <v>Enter School Name Here</v>
      </c>
      <c r="E16" s="95" t="str">
        <f>Sheet1!D52</f>
        <v/>
      </c>
      <c r="F16" s="77">
        <f t="shared" si="2"/>
        <v>0</v>
      </c>
      <c r="G16" s="96">
        <f t="shared" si="3"/>
        <v>8</v>
      </c>
      <c r="I16" s="97" t="s">
        <v>94</v>
      </c>
      <c r="J16" s="98"/>
      <c r="K16" s="99"/>
      <c r="L16" s="100">
        <v>6005.0</v>
      </c>
    </row>
    <row r="17" ht="14.25" customHeight="1">
      <c r="A17" s="77" t="str">
        <f t="shared" si="1"/>
        <v>90</v>
      </c>
      <c r="B17" s="95" t="str">
        <f>Sheet1!B53</f>
        <v/>
      </c>
      <c r="C17" s="95" t="str">
        <f>Sheet1!C53</f>
        <v/>
      </c>
      <c r="D17" s="95" t="str">
        <f>Sheet1!$C$1</f>
        <v>Enter School Name Here</v>
      </c>
      <c r="E17" s="95" t="str">
        <f>Sheet1!D53</f>
        <v/>
      </c>
      <c r="F17" s="77">
        <f t="shared" si="2"/>
        <v>0</v>
      </c>
      <c r="G17" s="96">
        <f t="shared" si="3"/>
        <v>9</v>
      </c>
      <c r="I17" s="97" t="s">
        <v>95</v>
      </c>
      <c r="J17" s="98"/>
      <c r="K17" s="99"/>
      <c r="L17" s="100">
        <v>6006.0</v>
      </c>
    </row>
    <row r="18" ht="14.25" customHeight="1">
      <c r="A18" s="77" t="str">
        <f t="shared" si="1"/>
        <v>100</v>
      </c>
      <c r="B18" s="95" t="str">
        <f>Sheet1!B54</f>
        <v/>
      </c>
      <c r="C18" s="95" t="str">
        <f>Sheet1!C54</f>
        <v/>
      </c>
      <c r="D18" s="95" t="str">
        <f>Sheet1!$C$1</f>
        <v>Enter School Name Here</v>
      </c>
      <c r="E18" s="95" t="str">
        <f>Sheet1!D54</f>
        <v/>
      </c>
      <c r="F18" s="77">
        <f t="shared" si="2"/>
        <v>0</v>
      </c>
      <c r="G18" s="96">
        <f t="shared" si="3"/>
        <v>10</v>
      </c>
      <c r="I18" s="97" t="s">
        <v>96</v>
      </c>
      <c r="J18" s="98"/>
      <c r="K18" s="99"/>
      <c r="L18" s="100">
        <v>8001.0</v>
      </c>
    </row>
    <row r="19" ht="14.25" customHeight="1">
      <c r="A19" s="77" t="str">
        <f t="shared" si="1"/>
        <v>110</v>
      </c>
      <c r="B19" s="95" t="str">
        <f>Sheet1!B55</f>
        <v/>
      </c>
      <c r="C19" s="95" t="str">
        <f>Sheet1!C55</f>
        <v/>
      </c>
      <c r="D19" s="95" t="str">
        <f>Sheet1!$C$1</f>
        <v>Enter School Name Here</v>
      </c>
      <c r="E19" s="95" t="str">
        <f>Sheet1!D55</f>
        <v/>
      </c>
      <c r="F19" s="77">
        <f t="shared" si="2"/>
        <v>0</v>
      </c>
      <c r="G19" s="96">
        <f t="shared" si="3"/>
        <v>11</v>
      </c>
      <c r="I19" s="97" t="s">
        <v>97</v>
      </c>
      <c r="J19" s="98"/>
      <c r="K19" s="99"/>
      <c r="L19" s="100">
        <v>1851.0</v>
      </c>
    </row>
    <row r="20" ht="14.25" customHeight="1">
      <c r="A20" s="77" t="str">
        <f t="shared" si="1"/>
        <v>120</v>
      </c>
      <c r="B20" s="95" t="str">
        <f>Sheet1!B56</f>
        <v/>
      </c>
      <c r="C20" s="95" t="str">
        <f>Sheet1!C56</f>
        <v/>
      </c>
      <c r="D20" s="95" t="str">
        <f>Sheet1!$C$1</f>
        <v>Enter School Name Here</v>
      </c>
      <c r="E20" s="95" t="str">
        <f>Sheet1!D56</f>
        <v/>
      </c>
      <c r="F20" s="77">
        <f t="shared" si="2"/>
        <v>0</v>
      </c>
      <c r="G20" s="96">
        <f t="shared" si="3"/>
        <v>12</v>
      </c>
      <c r="I20" s="97" t="s">
        <v>98</v>
      </c>
      <c r="J20" s="98"/>
      <c r="K20" s="99"/>
      <c r="L20" s="100">
        <v>6007.0</v>
      </c>
    </row>
    <row r="21" ht="14.25" customHeight="1">
      <c r="A21" s="77" t="str">
        <f t="shared" si="1"/>
        <v>130</v>
      </c>
      <c r="B21" s="95" t="str">
        <f>Sheet1!B57</f>
        <v/>
      </c>
      <c r="C21" s="95" t="str">
        <f>Sheet1!C57</f>
        <v/>
      </c>
      <c r="D21" s="95" t="str">
        <f>Sheet1!$C$1</f>
        <v>Enter School Name Here</v>
      </c>
      <c r="E21" s="95" t="str">
        <f>Sheet1!D57</f>
        <v/>
      </c>
      <c r="F21" s="77">
        <f t="shared" si="2"/>
        <v>0</v>
      </c>
      <c r="G21" s="96">
        <f t="shared" si="3"/>
        <v>13</v>
      </c>
      <c r="I21" s="97" t="s">
        <v>99</v>
      </c>
      <c r="J21" s="98"/>
      <c r="K21" s="99"/>
      <c r="L21" s="100">
        <v>1251.0</v>
      </c>
    </row>
    <row r="22" ht="14.25" customHeight="1">
      <c r="A22" s="77" t="str">
        <f t="shared" si="1"/>
        <v>140</v>
      </c>
      <c r="B22" s="95" t="str">
        <f>Sheet1!B58</f>
        <v/>
      </c>
      <c r="C22" s="95" t="str">
        <f>Sheet1!C58</f>
        <v/>
      </c>
      <c r="D22" s="95" t="str">
        <f>Sheet1!$C$1</f>
        <v>Enter School Name Here</v>
      </c>
      <c r="E22" s="95" t="str">
        <f>Sheet1!D58</f>
        <v/>
      </c>
      <c r="F22" s="77">
        <f t="shared" si="2"/>
        <v>0</v>
      </c>
      <c r="G22" s="96">
        <f t="shared" si="3"/>
        <v>14</v>
      </c>
      <c r="I22" s="97" t="s">
        <v>100</v>
      </c>
      <c r="J22" s="98"/>
      <c r="K22" s="99"/>
      <c r="L22" s="100">
        <v>8004.0</v>
      </c>
    </row>
    <row r="23" ht="14.25" customHeight="1">
      <c r="A23" s="77" t="str">
        <f t="shared" si="1"/>
        <v>150</v>
      </c>
      <c r="B23" s="95" t="str">
        <f>Sheet1!B59</f>
        <v/>
      </c>
      <c r="C23" s="95" t="str">
        <f>Sheet1!C59</f>
        <v/>
      </c>
      <c r="D23" s="95" t="str">
        <f>Sheet1!$C$1</f>
        <v>Enter School Name Here</v>
      </c>
      <c r="E23" s="95" t="str">
        <f>Sheet1!D59</f>
        <v/>
      </c>
      <c r="F23" s="77">
        <f t="shared" si="2"/>
        <v>0</v>
      </c>
      <c r="G23" s="96">
        <f t="shared" si="3"/>
        <v>15</v>
      </c>
      <c r="I23" s="97" t="s">
        <v>101</v>
      </c>
      <c r="J23" s="98"/>
      <c r="K23" s="99"/>
      <c r="L23" s="100">
        <v>7003.0</v>
      </c>
    </row>
    <row r="24" ht="14.25" customHeight="1">
      <c r="A24" s="77" t="str">
        <f t="shared" si="1"/>
        <v>160</v>
      </c>
      <c r="B24" s="95" t="str">
        <f>Sheet1!B60</f>
        <v/>
      </c>
      <c r="C24" s="95" t="str">
        <f>Sheet1!C60</f>
        <v/>
      </c>
      <c r="D24" s="95" t="str">
        <f>Sheet1!$C$1</f>
        <v>Enter School Name Here</v>
      </c>
      <c r="E24" s="95" t="str">
        <f>Sheet1!D60</f>
        <v/>
      </c>
      <c r="F24" s="77">
        <f t="shared" si="2"/>
        <v>0</v>
      </c>
      <c r="G24" s="96">
        <f t="shared" si="3"/>
        <v>16</v>
      </c>
      <c r="I24" s="97" t="s">
        <v>102</v>
      </c>
      <c r="J24" s="98"/>
      <c r="K24" s="99"/>
      <c r="L24" s="100">
        <v>1560.0</v>
      </c>
    </row>
    <row r="25" ht="14.25" customHeight="1">
      <c r="A25" s="77" t="str">
        <f t="shared" si="1"/>
        <v>170</v>
      </c>
      <c r="B25" s="95" t="str">
        <f>Sheet1!B61</f>
        <v/>
      </c>
      <c r="C25" s="95" t="str">
        <f>Sheet1!C61</f>
        <v/>
      </c>
      <c r="D25" s="95" t="str">
        <f>Sheet1!$C$1</f>
        <v>Enter School Name Here</v>
      </c>
      <c r="E25" s="95" t="str">
        <f>Sheet1!D61</f>
        <v/>
      </c>
      <c r="F25" s="77">
        <f t="shared" si="2"/>
        <v>0</v>
      </c>
      <c r="G25" s="96">
        <f t="shared" si="3"/>
        <v>17</v>
      </c>
      <c r="I25" s="97" t="s">
        <v>103</v>
      </c>
      <c r="J25" s="98"/>
      <c r="K25" s="99"/>
      <c r="L25" s="100">
        <v>6009.0</v>
      </c>
    </row>
    <row r="26" ht="14.25" customHeight="1">
      <c r="A26" s="77" t="str">
        <f t="shared" si="1"/>
        <v>180</v>
      </c>
      <c r="B26" s="95" t="str">
        <f>Sheet1!B62</f>
        <v/>
      </c>
      <c r="C26" s="95" t="str">
        <f>Sheet1!C62</f>
        <v/>
      </c>
      <c r="D26" s="95" t="str">
        <f>Sheet1!$C$1</f>
        <v>Enter School Name Here</v>
      </c>
      <c r="E26" s="95" t="str">
        <f>Sheet1!D62</f>
        <v/>
      </c>
      <c r="F26" s="77">
        <f t="shared" si="2"/>
        <v>0</v>
      </c>
      <c r="G26" s="96">
        <f t="shared" si="3"/>
        <v>18</v>
      </c>
      <c r="I26" s="97" t="s">
        <v>104</v>
      </c>
      <c r="J26" s="98"/>
      <c r="K26" s="99"/>
      <c r="L26" s="100">
        <v>8005.0</v>
      </c>
    </row>
    <row r="27" ht="14.25" customHeight="1">
      <c r="A27" s="77" t="str">
        <f t="shared" si="1"/>
        <v>190</v>
      </c>
      <c r="B27" s="95" t="str">
        <f>Sheet1!B63</f>
        <v/>
      </c>
      <c r="C27" s="95" t="str">
        <f>Sheet1!C63</f>
        <v/>
      </c>
      <c r="D27" s="95" t="str">
        <f>Sheet1!$C$1</f>
        <v>Enter School Name Here</v>
      </c>
      <c r="E27" s="95" t="str">
        <f>Sheet1!D63</f>
        <v/>
      </c>
      <c r="F27" s="77">
        <f t="shared" si="2"/>
        <v>0</v>
      </c>
      <c r="G27" s="96">
        <f t="shared" si="3"/>
        <v>19</v>
      </c>
      <c r="I27" s="97" t="s">
        <v>105</v>
      </c>
      <c r="J27" s="98"/>
      <c r="K27" s="99"/>
      <c r="L27" s="100">
        <v>7001.0</v>
      </c>
    </row>
    <row r="28" ht="14.25" customHeight="1">
      <c r="A28" s="77" t="str">
        <f t="shared" si="1"/>
        <v>200</v>
      </c>
      <c r="B28" s="95" t="str">
        <f>Sheet1!B64</f>
        <v/>
      </c>
      <c r="C28" s="95" t="str">
        <f>Sheet1!C64</f>
        <v/>
      </c>
      <c r="D28" s="95" t="str">
        <f>Sheet1!$C$1</f>
        <v>Enter School Name Here</v>
      </c>
      <c r="E28" s="95" t="str">
        <f>Sheet1!D64</f>
        <v/>
      </c>
      <c r="F28" s="77">
        <f t="shared" si="2"/>
        <v>0</v>
      </c>
      <c r="G28" s="96">
        <f t="shared" si="3"/>
        <v>20</v>
      </c>
      <c r="I28" s="97" t="s">
        <v>106</v>
      </c>
      <c r="J28" s="98"/>
      <c r="K28" s="99"/>
      <c r="L28" s="100">
        <v>8500.0</v>
      </c>
    </row>
    <row r="29" ht="14.25" customHeight="1">
      <c r="A29" s="77" t="str">
        <f t="shared" si="1"/>
        <v>210</v>
      </c>
      <c r="B29" s="95" t="str">
        <f>Sheet1!B65</f>
        <v/>
      </c>
      <c r="C29" s="95" t="str">
        <f>Sheet1!C65</f>
        <v/>
      </c>
      <c r="D29" s="95" t="str">
        <f>Sheet1!$C$1</f>
        <v>Enter School Name Here</v>
      </c>
      <c r="E29" s="95" t="str">
        <f>Sheet1!D65</f>
        <v/>
      </c>
      <c r="F29" s="77">
        <f t="shared" si="2"/>
        <v>0</v>
      </c>
      <c r="G29" s="96">
        <f t="shared" si="3"/>
        <v>21</v>
      </c>
      <c r="I29" s="97" t="s">
        <v>107</v>
      </c>
      <c r="J29" s="98"/>
      <c r="K29" s="99"/>
      <c r="L29" s="100">
        <v>6010.0</v>
      </c>
    </row>
    <row r="30" ht="14.25" customHeight="1">
      <c r="A30" s="77" t="str">
        <f t="shared" si="1"/>
        <v>220</v>
      </c>
      <c r="B30" s="95" t="str">
        <f>Sheet1!B66</f>
        <v/>
      </c>
      <c r="C30" s="95" t="str">
        <f>Sheet1!C66</f>
        <v/>
      </c>
      <c r="D30" s="95" t="str">
        <f>Sheet1!$C$1</f>
        <v>Enter School Name Here</v>
      </c>
      <c r="E30" s="95" t="str">
        <f>Sheet1!D66</f>
        <v/>
      </c>
      <c r="F30" s="77">
        <f t="shared" si="2"/>
        <v>0</v>
      </c>
      <c r="G30" s="96">
        <f t="shared" si="3"/>
        <v>22</v>
      </c>
      <c r="I30" s="97" t="s">
        <v>108</v>
      </c>
      <c r="J30" s="98"/>
      <c r="K30" s="99"/>
      <c r="L30" s="100">
        <v>8007.0</v>
      </c>
    </row>
    <row r="31" ht="14.25" customHeight="1">
      <c r="A31" s="77" t="str">
        <f t="shared" si="1"/>
        <v>230</v>
      </c>
      <c r="B31" s="95" t="str">
        <f>Sheet1!B67</f>
        <v/>
      </c>
      <c r="C31" s="95" t="str">
        <f>Sheet1!C67</f>
        <v/>
      </c>
      <c r="D31" s="95" t="str">
        <f>Sheet1!$C$1</f>
        <v>Enter School Name Here</v>
      </c>
      <c r="E31" s="95" t="str">
        <f>Sheet1!D67</f>
        <v/>
      </c>
      <c r="F31" s="77">
        <f t="shared" si="2"/>
        <v>0</v>
      </c>
      <c r="G31" s="96">
        <f t="shared" si="3"/>
        <v>23</v>
      </c>
      <c r="I31" s="101" t="s">
        <v>109</v>
      </c>
      <c r="J31" s="102"/>
      <c r="K31" s="103"/>
      <c r="L31" s="100">
        <v>7004.0</v>
      </c>
    </row>
    <row r="32" ht="14.25" customHeight="1">
      <c r="A32" s="77" t="str">
        <f t="shared" si="1"/>
        <v>240</v>
      </c>
      <c r="B32" s="95" t="str">
        <f>Sheet1!B68</f>
        <v/>
      </c>
      <c r="C32" s="95" t="str">
        <f>Sheet1!C68</f>
        <v/>
      </c>
      <c r="D32" s="95" t="str">
        <f>Sheet1!$C$1</f>
        <v>Enter School Name Here</v>
      </c>
      <c r="E32" s="95" t="str">
        <f>Sheet1!D68</f>
        <v/>
      </c>
      <c r="F32" s="77">
        <f t="shared" si="2"/>
        <v>0</v>
      </c>
      <c r="G32" s="96">
        <f t="shared" si="3"/>
        <v>24</v>
      </c>
      <c r="I32" s="97" t="s">
        <v>110</v>
      </c>
      <c r="J32" s="98"/>
      <c r="K32" s="99"/>
      <c r="L32" s="100">
        <v>6060.0</v>
      </c>
    </row>
    <row r="33" ht="14.25" customHeight="1">
      <c r="A33" s="77" t="str">
        <f t="shared" si="1"/>
        <v>250</v>
      </c>
      <c r="B33" s="95" t="str">
        <f>Sheet1!B69</f>
        <v/>
      </c>
      <c r="C33" s="95" t="str">
        <f>Sheet1!C69</f>
        <v/>
      </c>
      <c r="D33" s="95" t="str">
        <f>Sheet1!$C$1</f>
        <v>Enter School Name Here</v>
      </c>
      <c r="E33" s="95" t="str">
        <f>Sheet1!D69</f>
        <v/>
      </c>
      <c r="F33" s="77">
        <f t="shared" si="2"/>
        <v>0</v>
      </c>
      <c r="G33" s="96">
        <f t="shared" si="3"/>
        <v>25</v>
      </c>
      <c r="I33" s="97" t="s">
        <v>111</v>
      </c>
      <c r="J33" s="98"/>
      <c r="K33" s="99"/>
      <c r="L33" s="100">
        <v>9999.0</v>
      </c>
    </row>
    <row r="34" ht="14.25" customHeight="1">
      <c r="A34" s="77" t="str">
        <f t="shared" si="1"/>
        <v>260</v>
      </c>
      <c r="B34" s="95" t="str">
        <f>Sheet1!B70</f>
        <v/>
      </c>
      <c r="C34" s="95" t="str">
        <f>Sheet1!C70</f>
        <v/>
      </c>
      <c r="D34" s="95" t="str">
        <f>Sheet1!$C$1</f>
        <v>Enter School Name Here</v>
      </c>
      <c r="E34" s="95" t="str">
        <f>Sheet1!D70</f>
        <v/>
      </c>
      <c r="F34" s="77">
        <f t="shared" si="2"/>
        <v>0</v>
      </c>
      <c r="G34" s="96">
        <f t="shared" si="3"/>
        <v>26</v>
      </c>
      <c r="I34" s="97" t="s">
        <v>112</v>
      </c>
      <c r="J34" s="98"/>
      <c r="K34" s="99"/>
      <c r="L34" s="100">
        <v>7005.0</v>
      </c>
    </row>
    <row r="35" ht="14.25" customHeight="1">
      <c r="A35" s="77" t="str">
        <f t="shared" si="1"/>
        <v>270</v>
      </c>
      <c r="B35" s="95" t="str">
        <f>Sheet1!B71</f>
        <v/>
      </c>
      <c r="C35" s="95" t="str">
        <f>Sheet1!C71</f>
        <v/>
      </c>
      <c r="D35" s="95" t="str">
        <f>Sheet1!$C$1</f>
        <v>Enter School Name Here</v>
      </c>
      <c r="E35" s="95" t="str">
        <f>Sheet1!D71</f>
        <v/>
      </c>
      <c r="F35" s="77">
        <f t="shared" si="2"/>
        <v>0</v>
      </c>
      <c r="G35" s="96">
        <f t="shared" si="3"/>
        <v>27</v>
      </c>
      <c r="I35" s="97" t="s">
        <v>113</v>
      </c>
      <c r="J35" s="98"/>
      <c r="K35" s="99"/>
      <c r="L35" s="100">
        <v>6017.0</v>
      </c>
    </row>
    <row r="36" ht="14.25" customHeight="1">
      <c r="A36" s="77" t="str">
        <f t="shared" si="1"/>
        <v>280</v>
      </c>
      <c r="B36" s="95" t="str">
        <f>Sheet1!B72</f>
        <v/>
      </c>
      <c r="C36" s="95" t="str">
        <f>Sheet1!C72</f>
        <v/>
      </c>
      <c r="D36" s="95" t="str">
        <f>Sheet1!$C$1</f>
        <v>Enter School Name Here</v>
      </c>
      <c r="E36" s="95" t="str">
        <f>Sheet1!D72</f>
        <v/>
      </c>
      <c r="F36" s="77">
        <f t="shared" si="2"/>
        <v>0</v>
      </c>
      <c r="G36" s="96">
        <f t="shared" si="3"/>
        <v>28</v>
      </c>
      <c r="I36" s="97" t="s">
        <v>114</v>
      </c>
      <c r="J36" s="98"/>
      <c r="K36" s="99"/>
      <c r="L36" s="100">
        <v>6012.0</v>
      </c>
    </row>
    <row r="37" ht="14.25" customHeight="1">
      <c r="A37" s="77" t="str">
        <f t="shared" si="1"/>
        <v>290</v>
      </c>
      <c r="B37" s="95" t="str">
        <f>Sheet1!B73</f>
        <v/>
      </c>
      <c r="C37" s="95" t="str">
        <f>Sheet1!C73</f>
        <v/>
      </c>
      <c r="D37" s="95" t="str">
        <f>Sheet1!$C$1</f>
        <v>Enter School Name Here</v>
      </c>
      <c r="E37" s="95" t="str">
        <f>Sheet1!D73</f>
        <v/>
      </c>
      <c r="F37" s="77">
        <f t="shared" si="2"/>
        <v>0</v>
      </c>
      <c r="G37" s="96">
        <f t="shared" si="3"/>
        <v>29</v>
      </c>
      <c r="I37" s="97" t="s">
        <v>115</v>
      </c>
      <c r="J37" s="98"/>
      <c r="K37" s="99"/>
      <c r="L37" s="100">
        <v>7006.0</v>
      </c>
    </row>
    <row r="38" ht="14.25" customHeight="1">
      <c r="A38" s="77" t="str">
        <f t="shared" si="1"/>
        <v>300</v>
      </c>
      <c r="B38" s="95" t="str">
        <f>Sheet1!B74</f>
        <v/>
      </c>
      <c r="C38" s="95" t="str">
        <f>Sheet1!C74</f>
        <v/>
      </c>
      <c r="D38" s="95" t="str">
        <f>Sheet1!$C$1</f>
        <v>Enter School Name Here</v>
      </c>
      <c r="E38" s="95" t="str">
        <f>Sheet1!D74</f>
        <v/>
      </c>
      <c r="F38" s="77">
        <f t="shared" si="2"/>
        <v>0</v>
      </c>
      <c r="G38" s="96">
        <f t="shared" si="3"/>
        <v>30</v>
      </c>
      <c r="I38" s="97" t="s">
        <v>116</v>
      </c>
      <c r="J38" s="98"/>
      <c r="K38" s="99"/>
      <c r="L38" s="100">
        <v>1720.0</v>
      </c>
    </row>
    <row r="39" ht="14.25" customHeight="1">
      <c r="A39" s="77" t="str">
        <f t="shared" si="1"/>
        <v>310</v>
      </c>
      <c r="B39" s="95" t="str">
        <f>Sheet1!B75</f>
        <v/>
      </c>
      <c r="C39" s="95" t="str">
        <f>Sheet1!C75</f>
        <v/>
      </c>
      <c r="D39" s="95" t="str">
        <f>Sheet1!$C$1</f>
        <v>Enter School Name Here</v>
      </c>
      <c r="E39" s="95" t="str">
        <f>Sheet1!D75</f>
        <v/>
      </c>
      <c r="F39" s="77">
        <f t="shared" si="2"/>
        <v>0</v>
      </c>
      <c r="G39" s="96">
        <f t="shared" si="3"/>
        <v>31</v>
      </c>
      <c r="I39" s="101" t="s">
        <v>117</v>
      </c>
      <c r="J39" s="102"/>
      <c r="K39" s="103"/>
      <c r="L39" s="100">
        <v>8009.0</v>
      </c>
    </row>
    <row r="40" ht="14.25" customHeight="1">
      <c r="A40" s="77" t="str">
        <f t="shared" si="1"/>
        <v>320</v>
      </c>
      <c r="B40" s="95" t="str">
        <f>Sheet1!B76</f>
        <v/>
      </c>
      <c r="C40" s="95" t="str">
        <f>Sheet1!C76</f>
        <v/>
      </c>
      <c r="D40" s="95" t="str">
        <f>Sheet1!$C$1</f>
        <v>Enter School Name Here</v>
      </c>
      <c r="E40" s="95" t="str">
        <f>Sheet1!D76</f>
        <v/>
      </c>
      <c r="F40" s="77">
        <f t="shared" si="2"/>
        <v>0</v>
      </c>
      <c r="G40" s="96">
        <f t="shared" si="3"/>
        <v>32</v>
      </c>
      <c r="I40" s="97" t="s">
        <v>118</v>
      </c>
      <c r="J40" s="98"/>
      <c r="K40" s="99"/>
      <c r="L40" s="100">
        <v>1511.0</v>
      </c>
    </row>
    <row r="41" ht="14.25" customHeight="1">
      <c r="A41" s="77" t="str">
        <f t="shared" si="1"/>
        <v>330</v>
      </c>
      <c r="B41" s="95" t="str">
        <f>Sheet1!B77</f>
        <v/>
      </c>
      <c r="C41" s="95" t="str">
        <f>Sheet1!C77</f>
        <v/>
      </c>
      <c r="D41" s="95" t="str">
        <f>Sheet1!$C$1</f>
        <v>Enter School Name Here</v>
      </c>
      <c r="E41" s="95" t="str">
        <f>Sheet1!D77</f>
        <v/>
      </c>
      <c r="F41" s="77">
        <f t="shared" si="2"/>
        <v>0</v>
      </c>
      <c r="G41" s="96">
        <f t="shared" si="3"/>
        <v>33</v>
      </c>
      <c r="I41" s="97" t="s">
        <v>119</v>
      </c>
      <c r="J41" s="98"/>
      <c r="K41" s="99"/>
      <c r="L41" s="100">
        <v>7002.0</v>
      </c>
    </row>
    <row r="42" ht="14.25" customHeight="1">
      <c r="A42" s="77" t="str">
        <f t="shared" si="1"/>
        <v>340</v>
      </c>
      <c r="B42" s="95" t="str">
        <f>Sheet1!B78</f>
        <v/>
      </c>
      <c r="C42" s="95" t="str">
        <f>Sheet1!C78</f>
        <v/>
      </c>
      <c r="D42" s="95" t="str">
        <f>Sheet1!$C$1</f>
        <v>Enter School Name Here</v>
      </c>
      <c r="E42" s="95" t="str">
        <f>Sheet1!D78</f>
        <v/>
      </c>
      <c r="F42" s="77">
        <f t="shared" si="2"/>
        <v>0</v>
      </c>
      <c r="G42" s="96">
        <f t="shared" si="3"/>
        <v>34</v>
      </c>
      <c r="I42" s="97" t="s">
        <v>120</v>
      </c>
      <c r="J42" s="98"/>
      <c r="K42" s="99"/>
      <c r="L42" s="100">
        <v>8008.0</v>
      </c>
    </row>
    <row r="43" ht="14.25" customHeight="1">
      <c r="A43" s="77" t="str">
        <f t="shared" si="1"/>
        <v>350</v>
      </c>
      <c r="B43" s="95" t="str">
        <f>Sheet1!B79</f>
        <v/>
      </c>
      <c r="C43" s="95" t="str">
        <f>Sheet1!C79</f>
        <v/>
      </c>
      <c r="D43" s="95" t="str">
        <f>Sheet1!$C$1</f>
        <v>Enter School Name Here</v>
      </c>
      <c r="E43" s="95" t="str">
        <f>Sheet1!D79</f>
        <v/>
      </c>
      <c r="F43" s="77">
        <f t="shared" si="2"/>
        <v>0</v>
      </c>
      <c r="G43" s="96">
        <f t="shared" si="3"/>
        <v>35</v>
      </c>
      <c r="I43" s="97" t="s">
        <v>121</v>
      </c>
      <c r="J43" s="98"/>
      <c r="K43" s="99"/>
      <c r="L43" s="100">
        <v>1021.0</v>
      </c>
    </row>
    <row r="44" ht="14.25" customHeight="1">
      <c r="A44" s="77" t="str">
        <f t="shared" si="1"/>
        <v>360</v>
      </c>
      <c r="B44" s="95" t="str">
        <f>Sheet1!B80</f>
        <v/>
      </c>
      <c r="C44" s="95" t="str">
        <f>Sheet1!C80</f>
        <v/>
      </c>
      <c r="D44" s="95" t="str">
        <f>Sheet1!$C$1</f>
        <v>Enter School Name Here</v>
      </c>
      <c r="E44" s="95" t="str">
        <f>Sheet1!D80</f>
        <v/>
      </c>
      <c r="F44" s="77">
        <f t="shared" si="2"/>
        <v>0</v>
      </c>
      <c r="G44" s="96">
        <f t="shared" si="3"/>
        <v>36</v>
      </c>
      <c r="I44" s="97" t="s">
        <v>122</v>
      </c>
      <c r="J44" s="98"/>
      <c r="K44" s="99"/>
      <c r="L44" s="100">
        <v>6013.0</v>
      </c>
    </row>
    <row r="45" ht="14.25" customHeight="1">
      <c r="A45" s="77" t="str">
        <f t="shared" si="1"/>
        <v>370</v>
      </c>
      <c r="B45" s="95" t="str">
        <f>Sheet1!B81</f>
        <v/>
      </c>
      <c r="C45" s="95" t="str">
        <f>Sheet1!C81</f>
        <v/>
      </c>
      <c r="D45" s="95" t="str">
        <f>Sheet1!$C$1</f>
        <v>Enter School Name Here</v>
      </c>
      <c r="E45" s="95" t="str">
        <f>Sheet1!D81</f>
        <v/>
      </c>
      <c r="F45" s="77">
        <f t="shared" si="2"/>
        <v>0</v>
      </c>
      <c r="G45" s="96">
        <f t="shared" si="3"/>
        <v>37</v>
      </c>
      <c r="I45" s="97" t="s">
        <v>123</v>
      </c>
      <c r="J45" s="98"/>
      <c r="K45" s="99"/>
      <c r="L45" s="100">
        <v>6019.0</v>
      </c>
    </row>
    <row r="46" ht="14.25" customHeight="1">
      <c r="A46" s="77" t="str">
        <f t="shared" si="1"/>
        <v>380</v>
      </c>
      <c r="B46" s="95" t="str">
        <f>Sheet1!B82</f>
        <v/>
      </c>
      <c r="C46" s="95" t="str">
        <f>Sheet1!C82</f>
        <v/>
      </c>
      <c r="D46" s="95" t="str">
        <f>Sheet1!$C$1</f>
        <v>Enter School Name Here</v>
      </c>
      <c r="E46" s="95" t="str">
        <f>Sheet1!D82</f>
        <v/>
      </c>
      <c r="F46" s="77">
        <f t="shared" si="2"/>
        <v>0</v>
      </c>
      <c r="G46" s="96">
        <f t="shared" si="3"/>
        <v>38</v>
      </c>
      <c r="I46" s="97" t="s">
        <v>124</v>
      </c>
      <c r="J46" s="98"/>
      <c r="K46" s="99"/>
      <c r="L46" s="100">
        <v>6011.0</v>
      </c>
    </row>
    <row r="47" ht="14.25" customHeight="1">
      <c r="A47" s="77" t="str">
        <f t="shared" si="1"/>
        <v>390</v>
      </c>
      <c r="B47" s="95" t="str">
        <f>Sheet1!B83</f>
        <v/>
      </c>
      <c r="C47" s="95" t="str">
        <f>Sheet1!C83</f>
        <v/>
      </c>
      <c r="D47" s="95" t="str">
        <f>Sheet1!$C$1</f>
        <v>Enter School Name Here</v>
      </c>
      <c r="E47" s="95" t="str">
        <f>Sheet1!D83</f>
        <v/>
      </c>
      <c r="F47" s="77">
        <f t="shared" si="2"/>
        <v>0</v>
      </c>
      <c r="G47" s="96">
        <f t="shared" si="3"/>
        <v>39</v>
      </c>
      <c r="I47" s="97" t="s">
        <v>125</v>
      </c>
      <c r="J47" s="98"/>
      <c r="K47" s="99"/>
      <c r="L47" s="100">
        <v>8003.0</v>
      </c>
    </row>
    <row r="48" ht="14.25" customHeight="1">
      <c r="A48" s="77" t="str">
        <f t="shared" si="1"/>
        <v>400</v>
      </c>
      <c r="B48" s="95" t="str">
        <f>Sheet1!B84</f>
        <v/>
      </c>
      <c r="C48" s="95" t="str">
        <f>Sheet1!C84</f>
        <v/>
      </c>
      <c r="D48" s="95" t="str">
        <f>Sheet1!$C$1</f>
        <v>Enter School Name Here</v>
      </c>
      <c r="E48" s="95" t="str">
        <f>Sheet1!D84</f>
        <v/>
      </c>
      <c r="F48" s="77">
        <f t="shared" si="2"/>
        <v>0</v>
      </c>
      <c r="G48" s="96">
        <f t="shared" si="3"/>
        <v>40</v>
      </c>
      <c r="I48" s="97" t="s">
        <v>126</v>
      </c>
      <c r="J48" s="98"/>
      <c r="K48" s="99"/>
      <c r="L48" s="100">
        <v>8010.0</v>
      </c>
    </row>
    <row r="49" ht="14.25" customHeight="1">
      <c r="A49" s="77" t="str">
        <f t="shared" si="1"/>
        <v>410</v>
      </c>
      <c r="B49" s="95" t="str">
        <f>Sheet1!B85</f>
        <v/>
      </c>
      <c r="C49" s="95" t="str">
        <f>Sheet1!C85</f>
        <v/>
      </c>
      <c r="D49" s="95" t="str">
        <f>Sheet1!$C$1</f>
        <v>Enter School Name Here</v>
      </c>
      <c r="E49" s="95" t="str">
        <f>Sheet1!D85</f>
        <v/>
      </c>
      <c r="F49" s="77">
        <f t="shared" si="2"/>
        <v>0</v>
      </c>
      <c r="G49" s="96">
        <f t="shared" si="3"/>
        <v>41</v>
      </c>
      <c r="I49" s="97" t="s">
        <v>127</v>
      </c>
      <c r="J49" s="98"/>
      <c r="K49" s="99"/>
      <c r="L49" s="100">
        <v>6018.0</v>
      </c>
    </row>
    <row r="50" ht="14.25" customHeight="1">
      <c r="A50" s="77" t="str">
        <f t="shared" si="1"/>
        <v>420</v>
      </c>
      <c r="B50" s="95" t="str">
        <f>Sheet1!B86</f>
        <v/>
      </c>
      <c r="C50" s="95" t="str">
        <f>Sheet1!C86</f>
        <v/>
      </c>
      <c r="D50" s="95" t="str">
        <f>Sheet1!$C$1</f>
        <v>Enter School Name Here</v>
      </c>
      <c r="E50" s="95" t="str">
        <f>Sheet1!D86</f>
        <v/>
      </c>
      <c r="F50" s="77">
        <f t="shared" si="2"/>
        <v>0</v>
      </c>
      <c r="G50" s="96">
        <f t="shared" si="3"/>
        <v>42</v>
      </c>
      <c r="I50" s="97" t="s">
        <v>128</v>
      </c>
      <c r="J50" s="98"/>
      <c r="K50" s="99"/>
      <c r="L50" s="100">
        <v>1001.0</v>
      </c>
    </row>
    <row r="51" ht="14.25" customHeight="1">
      <c r="A51" s="77" t="str">
        <f t="shared" si="1"/>
        <v>430</v>
      </c>
      <c r="B51" s="95" t="str">
        <f>Sheet1!B87</f>
        <v/>
      </c>
      <c r="C51" s="95" t="str">
        <f>Sheet1!C87</f>
        <v/>
      </c>
      <c r="D51" s="95" t="str">
        <f>Sheet1!$C$1</f>
        <v>Enter School Name Here</v>
      </c>
      <c r="E51" s="95" t="str">
        <f>Sheet1!D87</f>
        <v/>
      </c>
      <c r="F51" s="77">
        <f t="shared" si="2"/>
        <v>0</v>
      </c>
      <c r="G51" s="96">
        <f t="shared" si="3"/>
        <v>43</v>
      </c>
      <c r="I51" s="97" t="s">
        <v>129</v>
      </c>
      <c r="J51" s="98"/>
      <c r="K51" s="99"/>
      <c r="L51" s="100">
        <v>1221.0</v>
      </c>
    </row>
    <row r="52" ht="14.25" customHeight="1">
      <c r="A52" s="77" t="str">
        <f t="shared" si="1"/>
        <v>440</v>
      </c>
      <c r="B52" s="95" t="str">
        <f>Sheet1!B88</f>
        <v/>
      </c>
      <c r="C52" s="95" t="str">
        <f>Sheet1!C88</f>
        <v/>
      </c>
      <c r="D52" s="95" t="str">
        <f>Sheet1!$C$1</f>
        <v>Enter School Name Here</v>
      </c>
      <c r="E52" s="95" t="str">
        <f>Sheet1!D88</f>
        <v/>
      </c>
      <c r="F52" s="77">
        <f t="shared" si="2"/>
        <v>0</v>
      </c>
      <c r="G52" s="96">
        <f t="shared" si="3"/>
        <v>44</v>
      </c>
      <c r="I52" s="97" t="s">
        <v>130</v>
      </c>
      <c r="J52" s="98"/>
      <c r="K52" s="99"/>
      <c r="L52" s="100">
        <v>6014.0</v>
      </c>
    </row>
    <row r="53" ht="14.25" customHeight="1">
      <c r="A53" s="77" t="str">
        <f t="shared" si="1"/>
        <v>450</v>
      </c>
      <c r="B53" s="95" t="str">
        <f>Sheet1!B89</f>
        <v/>
      </c>
      <c r="C53" s="95" t="str">
        <f>Sheet1!C89</f>
        <v/>
      </c>
      <c r="D53" s="95" t="str">
        <f>Sheet1!$C$1</f>
        <v>Enter School Name Here</v>
      </c>
      <c r="E53" s="95" t="str">
        <f>Sheet1!D89</f>
        <v/>
      </c>
      <c r="F53" s="77">
        <f t="shared" si="2"/>
        <v>0</v>
      </c>
      <c r="G53" s="96">
        <f t="shared" si="3"/>
        <v>45</v>
      </c>
      <c r="I53" s="97" t="s">
        <v>131</v>
      </c>
      <c r="J53" s="98"/>
      <c r="K53" s="99"/>
      <c r="L53" s="100">
        <v>6016.0</v>
      </c>
    </row>
    <row r="54" ht="15.75" customHeight="1">
      <c r="A54" s="77" t="str">
        <f t="shared" si="1"/>
        <v>460</v>
      </c>
      <c r="B54" s="95" t="str">
        <f>Sheet1!B90</f>
        <v/>
      </c>
      <c r="C54" s="95" t="str">
        <f>Sheet1!C90</f>
        <v/>
      </c>
      <c r="D54" s="95" t="str">
        <f>Sheet1!$C$1</f>
        <v>Enter School Name Here</v>
      </c>
      <c r="E54" s="95" t="str">
        <f>Sheet1!D90</f>
        <v/>
      </c>
      <c r="F54" s="77">
        <f t="shared" si="2"/>
        <v>0</v>
      </c>
      <c r="G54" s="96">
        <f t="shared" si="3"/>
        <v>46</v>
      </c>
      <c r="I54" s="97" t="s">
        <v>132</v>
      </c>
      <c r="J54" s="98"/>
      <c r="K54" s="99"/>
      <c r="L54" s="100">
        <v>7010.0</v>
      </c>
    </row>
    <row r="55" ht="15.75" customHeight="1">
      <c r="A55" s="77" t="str">
        <f t="shared" si="1"/>
        <v>470</v>
      </c>
      <c r="B55" s="95" t="str">
        <f>Sheet1!B91</f>
        <v/>
      </c>
      <c r="C55" s="95" t="str">
        <f>Sheet1!C91</f>
        <v/>
      </c>
      <c r="D55" s="95" t="str">
        <f>Sheet1!$C$1</f>
        <v>Enter School Name Here</v>
      </c>
      <c r="E55" s="95" t="str">
        <f>Sheet1!D91</f>
        <v/>
      </c>
      <c r="F55" s="77">
        <f t="shared" si="2"/>
        <v>0</v>
      </c>
      <c r="G55" s="96">
        <f t="shared" si="3"/>
        <v>47</v>
      </c>
      <c r="I55" s="97" t="s">
        <v>133</v>
      </c>
      <c r="J55" s="98"/>
      <c r="K55" s="99"/>
      <c r="L55" s="100">
        <v>6022.0</v>
      </c>
    </row>
    <row r="56" ht="15.75" customHeight="1">
      <c r="A56" s="77" t="str">
        <f t="shared" si="1"/>
        <v>480</v>
      </c>
      <c r="B56" s="95" t="str">
        <f>Sheet1!B92</f>
        <v/>
      </c>
      <c r="C56" s="95" t="str">
        <f>Sheet1!C92</f>
        <v/>
      </c>
      <c r="D56" s="95" t="str">
        <f>Sheet1!$C$1</f>
        <v>Enter School Name Here</v>
      </c>
      <c r="E56" s="95" t="str">
        <f>Sheet1!D92</f>
        <v/>
      </c>
      <c r="F56" s="77">
        <f t="shared" si="2"/>
        <v>0</v>
      </c>
      <c r="G56" s="96">
        <f t="shared" si="3"/>
        <v>48</v>
      </c>
      <c r="I56" s="104" t="s">
        <v>134</v>
      </c>
      <c r="J56" s="105"/>
      <c r="K56" s="106"/>
      <c r="L56" s="107">
        <v>1002.0</v>
      </c>
    </row>
    <row r="57" ht="15.75" customHeight="1">
      <c r="A57" s="77" t="str">
        <f t="shared" si="1"/>
        <v>490</v>
      </c>
      <c r="B57" s="95" t="str">
        <f>Sheet1!B93</f>
        <v/>
      </c>
      <c r="C57" s="95" t="str">
        <f>Sheet1!C93</f>
        <v/>
      </c>
      <c r="D57" s="95" t="str">
        <f>Sheet1!$C$1</f>
        <v>Enter School Name Here</v>
      </c>
      <c r="E57" s="95" t="str">
        <f>Sheet1!D93</f>
        <v/>
      </c>
      <c r="F57" s="77">
        <f t="shared" si="2"/>
        <v>0</v>
      </c>
      <c r="G57" s="96">
        <f t="shared" si="3"/>
        <v>49</v>
      </c>
    </row>
    <row r="58" ht="15.75" customHeight="1">
      <c r="A58" s="77" t="str">
        <f t="shared" si="1"/>
        <v>500</v>
      </c>
      <c r="B58" s="95" t="str">
        <f>Sheet1!B94</f>
        <v/>
      </c>
      <c r="C58" s="95" t="str">
        <f>Sheet1!C94</f>
        <v/>
      </c>
      <c r="D58" s="95" t="str">
        <f>Sheet1!$C$1</f>
        <v>Enter School Name Here</v>
      </c>
      <c r="E58" s="95" t="str">
        <f>Sheet1!D94</f>
        <v/>
      </c>
      <c r="F58" s="77">
        <f t="shared" si="2"/>
        <v>0</v>
      </c>
      <c r="G58" s="96">
        <f t="shared" si="3"/>
        <v>50</v>
      </c>
    </row>
    <row r="59" ht="15.75" customHeight="1">
      <c r="A59" s="77" t="str">
        <f t="shared" si="1"/>
        <v>510</v>
      </c>
      <c r="B59" s="95" t="str">
        <f>Sheet1!B95</f>
        <v/>
      </c>
      <c r="C59" s="95" t="str">
        <f>Sheet1!C95</f>
        <v/>
      </c>
      <c r="D59" s="95" t="str">
        <f>Sheet1!$C$1</f>
        <v>Enter School Name Here</v>
      </c>
      <c r="E59" s="95" t="str">
        <f>Sheet1!D95</f>
        <v/>
      </c>
      <c r="F59" s="77">
        <f t="shared" si="2"/>
        <v>0</v>
      </c>
      <c r="G59" s="96">
        <f t="shared" si="3"/>
        <v>51</v>
      </c>
    </row>
    <row r="60" ht="15.75" customHeight="1">
      <c r="A60" s="77" t="str">
        <f t="shared" si="1"/>
        <v>520</v>
      </c>
      <c r="B60" s="95" t="str">
        <f>Sheet1!B96</f>
        <v/>
      </c>
      <c r="C60" s="95" t="str">
        <f>Sheet1!C96</f>
        <v/>
      </c>
      <c r="D60" s="95" t="str">
        <f>Sheet1!$C$1</f>
        <v>Enter School Name Here</v>
      </c>
      <c r="E60" s="95"/>
      <c r="F60" s="77">
        <f t="shared" si="2"/>
        <v>0</v>
      </c>
      <c r="G60" s="96">
        <f t="shared" si="3"/>
        <v>52</v>
      </c>
    </row>
    <row r="61" ht="15.75" customHeight="1">
      <c r="A61" s="77" t="str">
        <f t="shared" si="1"/>
        <v>530</v>
      </c>
      <c r="B61" s="95" t="str">
        <f>Sheet1!B97</f>
        <v/>
      </c>
      <c r="C61" s="95" t="str">
        <f>Sheet1!C97</f>
        <v/>
      </c>
      <c r="D61" s="95" t="str">
        <f>Sheet1!$C$1</f>
        <v>Enter School Name Here</v>
      </c>
      <c r="E61" s="95"/>
      <c r="F61" s="77">
        <f t="shared" si="2"/>
        <v>0</v>
      </c>
      <c r="G61" s="96">
        <f t="shared" si="3"/>
        <v>53</v>
      </c>
    </row>
    <row r="62" ht="15.75" customHeight="1">
      <c r="A62" s="77" t="str">
        <f t="shared" si="1"/>
        <v>540</v>
      </c>
      <c r="B62" s="95" t="str">
        <f>Sheet1!B98</f>
        <v/>
      </c>
      <c r="C62" s="95" t="str">
        <f>Sheet1!C98</f>
        <v/>
      </c>
      <c r="D62" s="95" t="str">
        <f>Sheet1!$C$1</f>
        <v>Enter School Name Here</v>
      </c>
      <c r="E62" s="95"/>
      <c r="F62" s="77">
        <f t="shared" si="2"/>
        <v>0</v>
      </c>
      <c r="G62" s="96">
        <f t="shared" si="3"/>
        <v>54</v>
      </c>
    </row>
    <row r="63" ht="15.75" customHeight="1">
      <c r="A63" s="77" t="str">
        <f t="shared" si="1"/>
        <v>550</v>
      </c>
      <c r="B63" s="95" t="str">
        <f>Sheet1!B99</f>
        <v/>
      </c>
      <c r="C63" s="95" t="str">
        <f>Sheet1!C99</f>
        <v/>
      </c>
      <c r="D63" s="95" t="str">
        <f>Sheet1!$C$1</f>
        <v>Enter School Name Here</v>
      </c>
      <c r="E63" s="95"/>
      <c r="F63" s="77">
        <f t="shared" si="2"/>
        <v>0</v>
      </c>
      <c r="G63" s="96">
        <f t="shared" si="3"/>
        <v>55</v>
      </c>
    </row>
    <row r="64" ht="15.75" customHeight="1">
      <c r="A64" s="77" t="str">
        <f t="shared" si="1"/>
        <v>560</v>
      </c>
      <c r="B64" s="95" t="str">
        <f>Sheet1!B100</f>
        <v/>
      </c>
      <c r="C64" s="95" t="str">
        <f>Sheet1!C100</f>
        <v/>
      </c>
      <c r="D64" s="95" t="str">
        <f>Sheet1!$C$1</f>
        <v>Enter School Name Here</v>
      </c>
      <c r="E64" s="95"/>
      <c r="F64" s="77">
        <f t="shared" si="2"/>
        <v>0</v>
      </c>
      <c r="G64" s="96">
        <f t="shared" si="3"/>
        <v>56</v>
      </c>
    </row>
    <row r="65" ht="15.75" customHeight="1">
      <c r="A65" s="77" t="str">
        <f t="shared" si="1"/>
        <v>570</v>
      </c>
      <c r="B65" s="95" t="str">
        <f>Sheet1!B101</f>
        <v/>
      </c>
      <c r="C65" s="95" t="str">
        <f>Sheet1!C101</f>
        <v/>
      </c>
      <c r="D65" s="95" t="str">
        <f>Sheet1!$C$1</f>
        <v>Enter School Name Here</v>
      </c>
      <c r="E65" s="95"/>
      <c r="F65" s="77">
        <f t="shared" si="2"/>
        <v>0</v>
      </c>
      <c r="G65" s="96">
        <f t="shared" si="3"/>
        <v>57</v>
      </c>
    </row>
    <row r="66" ht="15.75" customHeight="1">
      <c r="A66" s="77" t="str">
        <f t="shared" si="1"/>
        <v>580</v>
      </c>
      <c r="B66" s="95" t="str">
        <f>Sheet1!B102</f>
        <v/>
      </c>
      <c r="C66" s="95" t="str">
        <f>Sheet1!C102</f>
        <v/>
      </c>
      <c r="D66" s="95" t="str">
        <f>Sheet1!$C$1</f>
        <v>Enter School Name Here</v>
      </c>
      <c r="E66" s="95"/>
      <c r="F66" s="77">
        <f t="shared" si="2"/>
        <v>0</v>
      </c>
      <c r="G66" s="96">
        <f t="shared" si="3"/>
        <v>58</v>
      </c>
    </row>
    <row r="67" ht="15.75" customHeight="1">
      <c r="A67" s="77" t="str">
        <f t="shared" si="1"/>
        <v>590</v>
      </c>
      <c r="B67" s="95" t="str">
        <f>Sheet1!B103</f>
        <v/>
      </c>
      <c r="C67" s="95" t="str">
        <f>Sheet1!C103</f>
        <v/>
      </c>
      <c r="D67" s="95" t="str">
        <f>Sheet1!$C$1</f>
        <v>Enter School Name Here</v>
      </c>
      <c r="E67" s="95"/>
      <c r="F67" s="77">
        <f t="shared" si="2"/>
        <v>0</v>
      </c>
      <c r="G67" s="96">
        <f t="shared" si="3"/>
        <v>59</v>
      </c>
    </row>
    <row r="68" ht="15.75" customHeight="1">
      <c r="A68" s="77" t="str">
        <f t="shared" si="1"/>
        <v>600</v>
      </c>
      <c r="B68" s="95" t="str">
        <f>Sheet1!B104</f>
        <v/>
      </c>
      <c r="C68" s="95" t="str">
        <f>Sheet1!C104</f>
        <v/>
      </c>
      <c r="D68" s="95" t="str">
        <f>Sheet1!$C$1</f>
        <v>Enter School Name Here</v>
      </c>
      <c r="E68" s="95"/>
      <c r="F68" s="77">
        <f t="shared" si="2"/>
        <v>0</v>
      </c>
      <c r="G68" s="96">
        <f t="shared" si="3"/>
        <v>60</v>
      </c>
    </row>
    <row r="69" ht="15.75" customHeight="1">
      <c r="A69" s="77" t="str">
        <f t="shared" si="1"/>
        <v>610</v>
      </c>
      <c r="B69" s="95" t="str">
        <f>Sheet1!B105</f>
        <v/>
      </c>
      <c r="C69" s="95" t="str">
        <f>Sheet1!C105</f>
        <v/>
      </c>
      <c r="D69" s="95" t="str">
        <f>Sheet1!$C$1</f>
        <v>Enter School Name Here</v>
      </c>
      <c r="E69" s="95"/>
      <c r="F69" s="77">
        <f t="shared" si="2"/>
        <v>0</v>
      </c>
      <c r="G69" s="96">
        <f t="shared" si="3"/>
        <v>61</v>
      </c>
    </row>
    <row r="70" ht="15.75" customHeight="1">
      <c r="A70" s="77" t="str">
        <f t="shared" si="1"/>
        <v>620</v>
      </c>
      <c r="B70" s="95" t="str">
        <f>Sheet1!B106</f>
        <v/>
      </c>
      <c r="C70" s="95" t="str">
        <f>Sheet1!C106</f>
        <v/>
      </c>
      <c r="D70" s="95" t="str">
        <f>Sheet1!$C$1</f>
        <v>Enter School Name Here</v>
      </c>
      <c r="E70" s="95"/>
      <c r="F70" s="77">
        <f t="shared" si="2"/>
        <v>0</v>
      </c>
      <c r="G70" s="96">
        <f t="shared" si="3"/>
        <v>62</v>
      </c>
    </row>
    <row r="71" ht="15.75" customHeight="1">
      <c r="A71" s="77" t="str">
        <f t="shared" si="1"/>
        <v>630</v>
      </c>
      <c r="B71" s="95" t="str">
        <f>Sheet1!B107</f>
        <v/>
      </c>
      <c r="C71" s="95" t="str">
        <f>Sheet1!C107</f>
        <v/>
      </c>
      <c r="D71" s="95" t="str">
        <f>Sheet1!$C$1</f>
        <v>Enter School Name Here</v>
      </c>
      <c r="E71" s="95"/>
      <c r="F71" s="77">
        <f t="shared" si="2"/>
        <v>0</v>
      </c>
      <c r="G71" s="96">
        <f t="shared" si="3"/>
        <v>63</v>
      </c>
    </row>
    <row r="72" ht="15.75" customHeight="1">
      <c r="A72" s="77" t="str">
        <f t="shared" si="1"/>
        <v>640</v>
      </c>
      <c r="B72" s="95" t="str">
        <f>Sheet1!B108</f>
        <v/>
      </c>
      <c r="C72" s="95" t="str">
        <f>Sheet1!C108</f>
        <v/>
      </c>
      <c r="D72" s="95" t="str">
        <f>Sheet1!$C$1</f>
        <v>Enter School Name Here</v>
      </c>
      <c r="E72" s="95"/>
      <c r="F72" s="77">
        <f t="shared" si="2"/>
        <v>0</v>
      </c>
      <c r="G72" s="96">
        <f t="shared" si="3"/>
        <v>64</v>
      </c>
    </row>
    <row r="73" ht="15.75" customHeight="1">
      <c r="A73" s="77" t="str">
        <f t="shared" si="1"/>
        <v>650</v>
      </c>
      <c r="B73" s="95" t="str">
        <f>Sheet1!B109</f>
        <v/>
      </c>
      <c r="C73" s="95" t="str">
        <f>Sheet1!C109</f>
        <v/>
      </c>
      <c r="D73" s="95" t="str">
        <f>Sheet1!$C$1</f>
        <v>Enter School Name Here</v>
      </c>
      <c r="E73" s="95"/>
      <c r="F73" s="77">
        <f t="shared" si="2"/>
        <v>0</v>
      </c>
      <c r="G73" s="96">
        <f t="shared" si="3"/>
        <v>65</v>
      </c>
    </row>
    <row r="74" ht="15.75" customHeight="1">
      <c r="A74" s="77" t="str">
        <f t="shared" si="1"/>
        <v>660</v>
      </c>
      <c r="B74" s="95" t="str">
        <f>Sheet1!B110</f>
        <v/>
      </c>
      <c r="C74" s="95" t="str">
        <f>Sheet1!C110</f>
        <v/>
      </c>
      <c r="D74" s="95" t="str">
        <f>Sheet1!$C$1</f>
        <v>Enter School Name Here</v>
      </c>
      <c r="E74" s="95"/>
      <c r="F74" s="77">
        <f t="shared" si="2"/>
        <v>0</v>
      </c>
      <c r="G74" s="96">
        <f t="shared" si="3"/>
        <v>66</v>
      </c>
    </row>
    <row r="75" ht="15.75" customHeight="1">
      <c r="A75" s="77" t="str">
        <f t="shared" si="1"/>
        <v>670</v>
      </c>
      <c r="B75" s="95" t="str">
        <f>Sheet1!B111</f>
        <v/>
      </c>
      <c r="C75" s="95" t="str">
        <f>Sheet1!C111</f>
        <v/>
      </c>
      <c r="D75" s="95" t="str">
        <f>Sheet1!$C$1</f>
        <v>Enter School Name Here</v>
      </c>
      <c r="E75" s="95"/>
      <c r="F75" s="77">
        <f t="shared" si="2"/>
        <v>0</v>
      </c>
      <c r="G75" s="96">
        <f t="shared" si="3"/>
        <v>67</v>
      </c>
    </row>
    <row r="76" ht="15.75" customHeight="1">
      <c r="A76" s="77" t="str">
        <f t="shared" si="1"/>
        <v>680</v>
      </c>
      <c r="B76" s="95" t="str">
        <f>Sheet1!B112</f>
        <v/>
      </c>
      <c r="C76" s="95" t="str">
        <f>Sheet1!C112</f>
        <v/>
      </c>
      <c r="D76" s="95" t="str">
        <f>Sheet1!$C$1</f>
        <v>Enter School Name Here</v>
      </c>
      <c r="E76" s="95"/>
      <c r="F76" s="77">
        <f t="shared" si="2"/>
        <v>0</v>
      </c>
      <c r="G76" s="96">
        <f t="shared" si="3"/>
        <v>68</v>
      </c>
    </row>
    <row r="77" ht="15.75" customHeight="1">
      <c r="A77" s="77" t="str">
        <f t="shared" si="1"/>
        <v>690</v>
      </c>
      <c r="B77" s="95" t="str">
        <f>Sheet1!B113</f>
        <v/>
      </c>
      <c r="C77" s="95" t="str">
        <f>Sheet1!C113</f>
        <v/>
      </c>
      <c r="D77" s="95" t="str">
        <f>Sheet1!$C$1</f>
        <v>Enter School Name Here</v>
      </c>
      <c r="E77" s="95"/>
      <c r="F77" s="77">
        <f t="shared" si="2"/>
        <v>0</v>
      </c>
      <c r="G77" s="96">
        <f t="shared" si="3"/>
        <v>69</v>
      </c>
    </row>
    <row r="78" ht="15.75" customHeight="1">
      <c r="A78" s="77" t="str">
        <f t="shared" si="1"/>
        <v>700</v>
      </c>
      <c r="B78" s="95" t="str">
        <f>Sheet1!B114</f>
        <v/>
      </c>
      <c r="C78" s="95" t="str">
        <f>Sheet1!C114</f>
        <v/>
      </c>
      <c r="D78" s="95" t="str">
        <f>Sheet1!$C$1</f>
        <v>Enter School Name Here</v>
      </c>
      <c r="E78" s="95"/>
      <c r="F78" s="77">
        <f t="shared" si="2"/>
        <v>0</v>
      </c>
      <c r="G78" s="96">
        <f t="shared" si="3"/>
        <v>70</v>
      </c>
    </row>
    <row r="79" ht="15.75" customHeight="1">
      <c r="A79" s="77" t="str">
        <f t="shared" si="1"/>
        <v>710</v>
      </c>
      <c r="B79" s="95" t="str">
        <f>Sheet1!B115</f>
        <v/>
      </c>
      <c r="C79" s="95" t="str">
        <f>Sheet1!C115</f>
        <v/>
      </c>
      <c r="D79" s="95" t="str">
        <f>Sheet1!$C$1</f>
        <v>Enter School Name Here</v>
      </c>
      <c r="E79" s="95"/>
      <c r="F79" s="77">
        <f t="shared" si="2"/>
        <v>0</v>
      </c>
      <c r="G79" s="96">
        <f t="shared" si="3"/>
        <v>71</v>
      </c>
    </row>
    <row r="80" ht="15.75" customHeight="1">
      <c r="A80" s="77" t="str">
        <f t="shared" si="1"/>
        <v>720</v>
      </c>
      <c r="B80" s="95" t="str">
        <f>Sheet1!B116</f>
        <v/>
      </c>
      <c r="C80" s="95" t="str">
        <f>Sheet1!C116</f>
        <v/>
      </c>
      <c r="D80" s="95" t="str">
        <f>Sheet1!$C$1</f>
        <v>Enter School Name Here</v>
      </c>
      <c r="E80" s="95"/>
      <c r="F80" s="77">
        <f t="shared" si="2"/>
        <v>0</v>
      </c>
      <c r="G80" s="96">
        <f t="shared" si="3"/>
        <v>72</v>
      </c>
    </row>
    <row r="81" ht="15.75" customHeight="1">
      <c r="A81" s="77" t="str">
        <f t="shared" si="1"/>
        <v>730</v>
      </c>
      <c r="B81" s="95" t="str">
        <f>Sheet1!B117</f>
        <v/>
      </c>
      <c r="C81" s="95" t="str">
        <f>Sheet1!C117</f>
        <v/>
      </c>
      <c r="D81" s="95" t="str">
        <f>Sheet1!$C$1</f>
        <v>Enter School Name Here</v>
      </c>
      <c r="E81" s="95"/>
      <c r="F81" s="77">
        <f t="shared" si="2"/>
        <v>0</v>
      </c>
      <c r="G81" s="96">
        <f t="shared" si="3"/>
        <v>73</v>
      </c>
    </row>
    <row r="82" ht="15.75" customHeight="1">
      <c r="A82" s="77" t="str">
        <f t="shared" si="1"/>
        <v>740</v>
      </c>
      <c r="B82" s="95" t="str">
        <f>Sheet1!B118</f>
        <v/>
      </c>
      <c r="C82" s="95" t="str">
        <f>Sheet1!C118</f>
        <v/>
      </c>
      <c r="D82" s="95" t="str">
        <f>Sheet1!$C$1</f>
        <v>Enter School Name Here</v>
      </c>
      <c r="E82" s="95"/>
      <c r="F82" s="77">
        <f t="shared" si="2"/>
        <v>0</v>
      </c>
      <c r="G82" s="96">
        <f t="shared" si="3"/>
        <v>74</v>
      </c>
    </row>
    <row r="83" ht="15.75" customHeight="1">
      <c r="A83" s="77" t="str">
        <f t="shared" si="1"/>
        <v>750</v>
      </c>
      <c r="B83" s="95" t="str">
        <f>Sheet1!B119</f>
        <v/>
      </c>
      <c r="C83" s="95" t="str">
        <f>Sheet1!C119</f>
        <v/>
      </c>
      <c r="D83" s="95" t="str">
        <f>Sheet1!$C$1</f>
        <v>Enter School Name Here</v>
      </c>
      <c r="E83" s="95"/>
      <c r="F83" s="77">
        <f t="shared" si="2"/>
        <v>0</v>
      </c>
      <c r="G83" s="96">
        <f t="shared" si="3"/>
        <v>75</v>
      </c>
    </row>
    <row r="84" ht="15.75" customHeight="1">
      <c r="A84" s="77" t="str">
        <f t="shared" si="1"/>
        <v>760</v>
      </c>
      <c r="B84" s="95" t="str">
        <f>Sheet1!B120</f>
        <v/>
      </c>
      <c r="C84" s="95" t="str">
        <f>Sheet1!C120</f>
        <v/>
      </c>
      <c r="D84" s="95" t="str">
        <f>Sheet1!$C$1</f>
        <v>Enter School Name Here</v>
      </c>
      <c r="E84" s="95"/>
      <c r="F84" s="77">
        <f t="shared" si="2"/>
        <v>0</v>
      </c>
      <c r="G84" s="96">
        <f t="shared" si="3"/>
        <v>76</v>
      </c>
    </row>
    <row r="85" ht="15.75" customHeight="1">
      <c r="A85" s="77" t="str">
        <f t="shared" si="1"/>
        <v>770</v>
      </c>
      <c r="B85" s="95" t="str">
        <f>Sheet1!B121</f>
        <v/>
      </c>
      <c r="C85" s="95" t="str">
        <f>Sheet1!C121</f>
        <v/>
      </c>
      <c r="D85" s="95" t="str">
        <f>Sheet1!$C$1</f>
        <v>Enter School Name Here</v>
      </c>
      <c r="E85" s="95"/>
      <c r="F85" s="77">
        <f t="shared" si="2"/>
        <v>0</v>
      </c>
      <c r="G85" s="96">
        <f t="shared" si="3"/>
        <v>77</v>
      </c>
    </row>
    <row r="86" ht="15.75" customHeight="1">
      <c r="A86" s="77" t="str">
        <f t="shared" si="1"/>
        <v>780</v>
      </c>
      <c r="B86" s="95" t="str">
        <f>Sheet1!B122</f>
        <v/>
      </c>
      <c r="C86" s="95" t="str">
        <f>Sheet1!C122</f>
        <v/>
      </c>
      <c r="D86" s="95" t="str">
        <f>Sheet1!$C$1</f>
        <v>Enter School Name Here</v>
      </c>
      <c r="E86" s="95"/>
      <c r="F86" s="77">
        <f t="shared" si="2"/>
        <v>0</v>
      </c>
      <c r="G86" s="96">
        <f t="shared" si="3"/>
        <v>78</v>
      </c>
    </row>
    <row r="87" ht="15.75" customHeight="1">
      <c r="A87" s="77" t="str">
        <f t="shared" si="1"/>
        <v>790</v>
      </c>
      <c r="B87" s="95" t="str">
        <f>Sheet1!B123</f>
        <v/>
      </c>
      <c r="C87" s="95" t="str">
        <f>Sheet1!C123</f>
        <v/>
      </c>
      <c r="D87" s="95" t="str">
        <f>Sheet1!$C$1</f>
        <v>Enter School Name Here</v>
      </c>
      <c r="E87" s="95"/>
      <c r="F87" s="77">
        <f t="shared" si="2"/>
        <v>0</v>
      </c>
      <c r="G87" s="96">
        <f t="shared" si="3"/>
        <v>79</v>
      </c>
    </row>
    <row r="88" ht="15.75" customHeight="1">
      <c r="A88" s="77" t="str">
        <f t="shared" si="1"/>
        <v>800</v>
      </c>
      <c r="B88" s="95" t="str">
        <f>Sheet1!B124</f>
        <v/>
      </c>
      <c r="C88" s="95" t="str">
        <f>Sheet1!C124</f>
        <v/>
      </c>
      <c r="D88" s="95" t="str">
        <f>Sheet1!$C$1</f>
        <v>Enter School Name Here</v>
      </c>
      <c r="E88" s="95"/>
      <c r="F88" s="77">
        <f t="shared" si="2"/>
        <v>0</v>
      </c>
      <c r="G88" s="96">
        <f t="shared" si="3"/>
        <v>80</v>
      </c>
    </row>
    <row r="89" ht="15.75" customHeight="1">
      <c r="A89" s="77" t="str">
        <f t="shared" si="1"/>
        <v>810</v>
      </c>
      <c r="B89" s="95" t="str">
        <f>Sheet1!B125</f>
        <v/>
      </c>
      <c r="C89" s="95" t="str">
        <f>Sheet1!C125</f>
        <v/>
      </c>
      <c r="D89" s="95" t="str">
        <f>Sheet1!$C$1</f>
        <v>Enter School Name Here</v>
      </c>
      <c r="E89" s="95"/>
      <c r="F89" s="77">
        <f t="shared" si="2"/>
        <v>0</v>
      </c>
      <c r="G89" s="96">
        <f t="shared" si="3"/>
        <v>81</v>
      </c>
    </row>
    <row r="90" ht="15.75" customHeight="1">
      <c r="A90" s="77" t="str">
        <f t="shared" si="1"/>
        <v>820</v>
      </c>
      <c r="B90" s="95" t="str">
        <f>Sheet1!B126</f>
        <v/>
      </c>
      <c r="C90" s="95" t="str">
        <f>Sheet1!C126</f>
        <v/>
      </c>
      <c r="D90" s="95" t="str">
        <f>Sheet1!$C$1</f>
        <v>Enter School Name Here</v>
      </c>
      <c r="E90" s="95"/>
      <c r="F90" s="77">
        <f t="shared" si="2"/>
        <v>0</v>
      </c>
      <c r="G90" s="96">
        <f t="shared" si="3"/>
        <v>82</v>
      </c>
    </row>
    <row r="91" ht="15.75" customHeight="1">
      <c r="A91" s="77" t="str">
        <f t="shared" si="1"/>
        <v>830</v>
      </c>
      <c r="B91" s="95" t="str">
        <f>Sheet1!B127</f>
        <v/>
      </c>
      <c r="C91" s="95" t="str">
        <f>Sheet1!C127</f>
        <v/>
      </c>
      <c r="D91" s="95" t="str">
        <f>Sheet1!$C$1</f>
        <v>Enter School Name Here</v>
      </c>
      <c r="E91" s="95"/>
      <c r="F91" s="77">
        <f t="shared" si="2"/>
        <v>0</v>
      </c>
      <c r="G91" s="96">
        <f t="shared" si="3"/>
        <v>83</v>
      </c>
    </row>
    <row r="92" ht="15.75" customHeight="1">
      <c r="A92" s="77" t="str">
        <f t="shared" si="1"/>
        <v>840</v>
      </c>
      <c r="B92" s="95" t="str">
        <f>Sheet1!B128</f>
        <v/>
      </c>
      <c r="C92" s="95" t="str">
        <f>Sheet1!C128</f>
        <v/>
      </c>
      <c r="D92" s="95" t="str">
        <f>Sheet1!$C$1</f>
        <v>Enter School Name Here</v>
      </c>
      <c r="E92" s="95"/>
      <c r="F92" s="77">
        <f t="shared" si="2"/>
        <v>0</v>
      </c>
      <c r="G92" s="96">
        <f t="shared" si="3"/>
        <v>84</v>
      </c>
    </row>
    <row r="93" ht="15.75" customHeight="1">
      <c r="A93" s="77" t="str">
        <f t="shared" si="1"/>
        <v>850</v>
      </c>
      <c r="B93" s="95" t="str">
        <f>Sheet1!B129</f>
        <v/>
      </c>
      <c r="C93" s="95" t="str">
        <f>Sheet1!C129</f>
        <v/>
      </c>
      <c r="D93" s="95" t="str">
        <f>Sheet1!$C$1</f>
        <v>Enter School Name Here</v>
      </c>
      <c r="E93" s="95"/>
      <c r="F93" s="77">
        <f t="shared" si="2"/>
        <v>0</v>
      </c>
      <c r="G93" s="96">
        <f t="shared" si="3"/>
        <v>85</v>
      </c>
    </row>
    <row r="94" ht="15.75" customHeight="1">
      <c r="A94" s="77" t="str">
        <f t="shared" si="1"/>
        <v>860</v>
      </c>
      <c r="B94" s="95" t="str">
        <f>Sheet1!B130</f>
        <v/>
      </c>
      <c r="C94" s="95" t="str">
        <f>Sheet1!C130</f>
        <v/>
      </c>
      <c r="D94" s="95" t="str">
        <f>Sheet1!$C$1</f>
        <v>Enter School Name Here</v>
      </c>
      <c r="E94" s="95"/>
      <c r="F94" s="77">
        <f t="shared" si="2"/>
        <v>0</v>
      </c>
      <c r="G94" s="96">
        <f t="shared" si="3"/>
        <v>86</v>
      </c>
    </row>
    <row r="95" ht="15.75" customHeight="1">
      <c r="A95" s="77" t="str">
        <f t="shared" si="1"/>
        <v>870</v>
      </c>
      <c r="B95" s="95" t="str">
        <f>Sheet1!B131</f>
        <v/>
      </c>
      <c r="C95" s="95" t="str">
        <f>Sheet1!C131</f>
        <v/>
      </c>
      <c r="D95" s="95" t="str">
        <f>Sheet1!$C$1</f>
        <v>Enter School Name Here</v>
      </c>
      <c r="E95" s="95"/>
      <c r="F95" s="77">
        <f t="shared" si="2"/>
        <v>0</v>
      </c>
      <c r="G95" s="96">
        <f t="shared" si="3"/>
        <v>87</v>
      </c>
    </row>
    <row r="96" ht="15.75" customHeight="1">
      <c r="A96" s="77" t="str">
        <f t="shared" si="1"/>
        <v>880</v>
      </c>
      <c r="B96" s="95" t="str">
        <f>Sheet1!B132</f>
        <v/>
      </c>
      <c r="C96" s="95" t="str">
        <f>Sheet1!C132</f>
        <v/>
      </c>
      <c r="D96" s="95" t="str">
        <f>Sheet1!$C$1</f>
        <v>Enter School Name Here</v>
      </c>
      <c r="E96" s="95"/>
      <c r="F96" s="77">
        <f t="shared" si="2"/>
        <v>0</v>
      </c>
      <c r="G96" s="96">
        <f t="shared" si="3"/>
        <v>88</v>
      </c>
    </row>
    <row r="97" ht="15.75" customHeight="1">
      <c r="A97" s="77" t="str">
        <f t="shared" si="1"/>
        <v>890</v>
      </c>
      <c r="B97" s="95" t="str">
        <f>Sheet1!B133</f>
        <v/>
      </c>
      <c r="C97" s="95" t="str">
        <f>Sheet1!C133</f>
        <v/>
      </c>
      <c r="D97" s="95" t="str">
        <f>Sheet1!$C$1</f>
        <v>Enter School Name Here</v>
      </c>
      <c r="E97" s="95"/>
      <c r="F97" s="77">
        <f t="shared" si="2"/>
        <v>0</v>
      </c>
      <c r="G97" s="96">
        <f t="shared" si="3"/>
        <v>89</v>
      </c>
    </row>
    <row r="98" ht="15.75" customHeight="1">
      <c r="A98" s="77" t="str">
        <f t="shared" si="1"/>
        <v>900</v>
      </c>
      <c r="B98" s="95" t="str">
        <f>Sheet1!B134</f>
        <v/>
      </c>
      <c r="C98" s="95" t="str">
        <f>Sheet1!C134</f>
        <v/>
      </c>
      <c r="D98" s="95" t="str">
        <f>Sheet1!$C$1</f>
        <v>Enter School Name Here</v>
      </c>
      <c r="E98" s="95"/>
      <c r="F98" s="77">
        <f t="shared" si="2"/>
        <v>0</v>
      </c>
      <c r="G98" s="96">
        <f t="shared" si="3"/>
        <v>90</v>
      </c>
    </row>
    <row r="99" ht="15.75" customHeight="1">
      <c r="A99" s="77" t="str">
        <f t="shared" si="1"/>
        <v>910</v>
      </c>
      <c r="B99" s="95" t="str">
        <f>Sheet1!B135</f>
        <v/>
      </c>
      <c r="C99" s="95" t="str">
        <f>Sheet1!C135</f>
        <v/>
      </c>
      <c r="D99" s="95" t="str">
        <f>Sheet1!$C$1</f>
        <v>Enter School Name Here</v>
      </c>
      <c r="E99" s="95"/>
      <c r="F99" s="77">
        <f t="shared" si="2"/>
        <v>0</v>
      </c>
      <c r="G99" s="96">
        <f t="shared" si="3"/>
        <v>91</v>
      </c>
    </row>
    <row r="100" ht="15.75" customHeight="1">
      <c r="A100" s="77" t="str">
        <f t="shared" si="1"/>
        <v>920</v>
      </c>
      <c r="B100" s="95" t="str">
        <f>Sheet1!B136</f>
        <v/>
      </c>
      <c r="C100" s="95" t="str">
        <f>Sheet1!C136</f>
        <v/>
      </c>
      <c r="D100" s="95" t="str">
        <f>Sheet1!$C$1</f>
        <v>Enter School Name Here</v>
      </c>
      <c r="E100" s="95"/>
      <c r="F100" s="77">
        <f t="shared" si="2"/>
        <v>0</v>
      </c>
      <c r="G100" s="96">
        <f t="shared" si="3"/>
        <v>92</v>
      </c>
    </row>
    <row r="101" ht="15.75" customHeight="1">
      <c r="A101" s="77" t="str">
        <f t="shared" si="1"/>
        <v>930</v>
      </c>
      <c r="B101" s="95" t="str">
        <f>Sheet1!B137</f>
        <v/>
      </c>
      <c r="C101" s="95" t="str">
        <f>Sheet1!C137</f>
        <v/>
      </c>
      <c r="D101" s="95" t="str">
        <f>Sheet1!$C$1</f>
        <v>Enter School Name Here</v>
      </c>
      <c r="E101" s="95"/>
      <c r="F101" s="77">
        <f t="shared" si="2"/>
        <v>0</v>
      </c>
      <c r="G101" s="96">
        <f t="shared" si="3"/>
        <v>93</v>
      </c>
    </row>
    <row r="102" ht="15.75" customHeight="1">
      <c r="A102" s="77" t="str">
        <f t="shared" si="1"/>
        <v>940</v>
      </c>
      <c r="B102" s="95" t="str">
        <f>Sheet1!B138</f>
        <v/>
      </c>
      <c r="C102" s="95" t="str">
        <f>Sheet1!C138</f>
        <v/>
      </c>
      <c r="D102" s="95" t="str">
        <f>Sheet1!$C$1</f>
        <v>Enter School Name Here</v>
      </c>
      <c r="E102" s="95"/>
      <c r="F102" s="77">
        <f t="shared" si="2"/>
        <v>0</v>
      </c>
      <c r="G102" s="96">
        <f t="shared" si="3"/>
        <v>94</v>
      </c>
    </row>
    <row r="103" ht="15.75" customHeight="1">
      <c r="A103" s="77" t="str">
        <f t="shared" si="1"/>
        <v>950</v>
      </c>
      <c r="B103" s="95" t="str">
        <f>Sheet1!B139</f>
        <v/>
      </c>
      <c r="C103" s="95" t="str">
        <f>Sheet1!C139</f>
        <v/>
      </c>
      <c r="D103" s="95" t="str">
        <f>Sheet1!$C$1</f>
        <v>Enter School Name Here</v>
      </c>
      <c r="E103" s="95"/>
      <c r="F103" s="77">
        <f t="shared" si="2"/>
        <v>0</v>
      </c>
      <c r="G103" s="96">
        <f t="shared" si="3"/>
        <v>95</v>
      </c>
    </row>
    <row r="104" ht="15.75" customHeight="1">
      <c r="A104" s="77" t="str">
        <f t="shared" si="1"/>
        <v>960</v>
      </c>
      <c r="B104" s="95" t="str">
        <f>Sheet1!B140</f>
        <v/>
      </c>
      <c r="C104" s="95" t="str">
        <f>Sheet1!C140</f>
        <v/>
      </c>
      <c r="D104" s="95" t="str">
        <f>Sheet1!$C$1</f>
        <v>Enter School Name Here</v>
      </c>
      <c r="E104" s="95"/>
      <c r="F104" s="77">
        <f t="shared" si="2"/>
        <v>0</v>
      </c>
      <c r="G104" s="96">
        <f t="shared" si="3"/>
        <v>96</v>
      </c>
    </row>
    <row r="105" ht="15.75" customHeight="1">
      <c r="A105" s="77" t="str">
        <f t="shared" si="1"/>
        <v>970</v>
      </c>
      <c r="B105" s="95" t="str">
        <f>Sheet1!B141</f>
        <v/>
      </c>
      <c r="C105" s="95" t="str">
        <f>Sheet1!C141</f>
        <v/>
      </c>
      <c r="D105" s="95" t="str">
        <f>Sheet1!$C$1</f>
        <v>Enter School Name Here</v>
      </c>
      <c r="E105" s="95"/>
      <c r="F105" s="77">
        <f t="shared" si="2"/>
        <v>0</v>
      </c>
      <c r="G105" s="96">
        <f t="shared" si="3"/>
        <v>97</v>
      </c>
    </row>
    <row r="106" ht="15.75" customHeight="1">
      <c r="A106" s="77" t="str">
        <f t="shared" si="1"/>
        <v>980</v>
      </c>
      <c r="B106" s="95" t="str">
        <f>Sheet1!B142</f>
        <v/>
      </c>
      <c r="C106" s="95" t="str">
        <f>Sheet1!C142</f>
        <v/>
      </c>
      <c r="D106" s="95" t="str">
        <f>Sheet1!$C$1</f>
        <v>Enter School Name Here</v>
      </c>
      <c r="E106" s="95"/>
      <c r="F106" s="77">
        <f t="shared" si="2"/>
        <v>0</v>
      </c>
      <c r="G106" s="96">
        <f t="shared" si="3"/>
        <v>98</v>
      </c>
    </row>
    <row r="107" ht="15.75" customHeight="1">
      <c r="A107" s="77" t="str">
        <f t="shared" si="1"/>
        <v>990</v>
      </c>
      <c r="B107" s="95" t="str">
        <f>Sheet1!B143</f>
        <v/>
      </c>
      <c r="C107" s="95" t="str">
        <f>Sheet1!C143</f>
        <v/>
      </c>
      <c r="D107" s="95" t="str">
        <f>Sheet1!$C$1</f>
        <v>Enter School Name Here</v>
      </c>
      <c r="E107" s="95"/>
      <c r="F107" s="77">
        <f t="shared" si="2"/>
        <v>0</v>
      </c>
      <c r="G107" s="96">
        <f t="shared" si="3"/>
        <v>99</v>
      </c>
    </row>
    <row r="108" ht="15.75" customHeight="1">
      <c r="A108" s="77" t="str">
        <f t="shared" si="1"/>
        <v>1000</v>
      </c>
      <c r="B108" s="95" t="str">
        <f>Sheet1!B144</f>
        <v/>
      </c>
      <c r="C108" s="95" t="str">
        <f>Sheet1!C144</f>
        <v/>
      </c>
      <c r="D108" s="95" t="str">
        <f>Sheet1!$C$1</f>
        <v>Enter School Name Here</v>
      </c>
      <c r="E108" s="95"/>
      <c r="F108" s="77">
        <f t="shared" si="2"/>
        <v>0</v>
      </c>
      <c r="G108" s="96">
        <f t="shared" si="3"/>
        <v>100</v>
      </c>
    </row>
    <row r="109" ht="15.75" customHeight="1">
      <c r="A109" s="77" t="str">
        <f t="shared" si="1"/>
        <v>1010</v>
      </c>
      <c r="B109" s="95" t="str">
        <f>Sheet1!B145</f>
        <v/>
      </c>
      <c r="C109" s="95" t="str">
        <f>Sheet1!C145</f>
        <v/>
      </c>
      <c r="D109" s="95" t="str">
        <f>Sheet1!$C$1</f>
        <v>Enter School Name Here</v>
      </c>
      <c r="E109" s="95"/>
      <c r="F109" s="77">
        <f t="shared" si="2"/>
        <v>0</v>
      </c>
      <c r="G109" s="96">
        <f t="shared" si="3"/>
        <v>101</v>
      </c>
    </row>
    <row r="110" ht="15.75" customHeight="1">
      <c r="A110" s="77" t="str">
        <f t="shared" si="1"/>
        <v>1020</v>
      </c>
      <c r="B110" s="95" t="str">
        <f>Sheet1!B146</f>
        <v/>
      </c>
      <c r="C110" s="95" t="str">
        <f>Sheet1!C146</f>
        <v/>
      </c>
      <c r="D110" s="95" t="str">
        <f>Sheet1!$C$1</f>
        <v>Enter School Name Here</v>
      </c>
      <c r="E110" s="95"/>
      <c r="F110" s="77">
        <f t="shared" si="2"/>
        <v>0</v>
      </c>
      <c r="G110" s="96">
        <f t="shared" si="3"/>
        <v>102</v>
      </c>
    </row>
    <row r="111" ht="15.75" customHeight="1">
      <c r="A111" s="77" t="str">
        <f t="shared" si="1"/>
        <v>1030</v>
      </c>
      <c r="B111" s="95" t="str">
        <f>Sheet1!B147</f>
        <v/>
      </c>
      <c r="C111" s="95" t="str">
        <f>Sheet1!C147</f>
        <v/>
      </c>
      <c r="D111" s="95" t="str">
        <f>Sheet1!$C$1</f>
        <v>Enter School Name Here</v>
      </c>
      <c r="E111" s="95"/>
      <c r="F111" s="77">
        <f t="shared" si="2"/>
        <v>0</v>
      </c>
      <c r="G111" s="96">
        <f t="shared" si="3"/>
        <v>103</v>
      </c>
    </row>
    <row r="112" ht="15.75" customHeight="1">
      <c r="A112" s="77" t="str">
        <f t="shared" si="1"/>
        <v>1040</v>
      </c>
      <c r="B112" s="95" t="str">
        <f>Sheet1!B148</f>
        <v/>
      </c>
      <c r="C112" s="95" t="str">
        <f>Sheet1!C148</f>
        <v/>
      </c>
      <c r="D112" s="95" t="str">
        <f>Sheet1!$C$1</f>
        <v>Enter School Name Here</v>
      </c>
      <c r="E112" s="95"/>
      <c r="F112" s="77">
        <f t="shared" si="2"/>
        <v>0</v>
      </c>
      <c r="G112" s="96">
        <f t="shared" si="3"/>
        <v>104</v>
      </c>
    </row>
    <row r="113" ht="15.75" customHeight="1">
      <c r="A113" s="77" t="str">
        <f t="shared" si="1"/>
        <v>1050</v>
      </c>
      <c r="B113" s="95" t="str">
        <f>Sheet1!B149</f>
        <v/>
      </c>
      <c r="C113" s="95" t="str">
        <f>Sheet1!C149</f>
        <v/>
      </c>
      <c r="D113" s="95" t="str">
        <f>Sheet1!$C$1</f>
        <v>Enter School Name Here</v>
      </c>
      <c r="E113" s="95"/>
      <c r="F113" s="77">
        <f t="shared" si="2"/>
        <v>0</v>
      </c>
      <c r="G113" s="96">
        <f t="shared" si="3"/>
        <v>105</v>
      </c>
    </row>
    <row r="114" ht="15.75" customHeight="1">
      <c r="A114" s="77" t="str">
        <f t="shared" si="1"/>
        <v>1060</v>
      </c>
      <c r="B114" s="95" t="str">
        <f>Sheet1!B150</f>
        <v/>
      </c>
      <c r="C114" s="95" t="str">
        <f>Sheet1!C150</f>
        <v/>
      </c>
      <c r="D114" s="95" t="str">
        <f>Sheet1!$C$1</f>
        <v>Enter School Name Here</v>
      </c>
      <c r="E114" s="95"/>
      <c r="F114" s="77">
        <f t="shared" si="2"/>
        <v>0</v>
      </c>
      <c r="G114" s="96">
        <f t="shared" si="3"/>
        <v>106</v>
      </c>
    </row>
    <row r="115" ht="15.75" customHeight="1">
      <c r="A115" s="77" t="str">
        <f t="shared" si="1"/>
        <v>1070</v>
      </c>
      <c r="B115" s="95" t="str">
        <f>Sheet1!B151</f>
        <v/>
      </c>
      <c r="C115" s="95" t="str">
        <f>Sheet1!C151</f>
        <v/>
      </c>
      <c r="D115" s="95" t="str">
        <f>Sheet1!$C$1</f>
        <v>Enter School Name Here</v>
      </c>
      <c r="E115" s="95"/>
      <c r="F115" s="77">
        <f t="shared" si="2"/>
        <v>0</v>
      </c>
      <c r="G115" s="96">
        <f t="shared" si="3"/>
        <v>107</v>
      </c>
    </row>
    <row r="116" ht="15.75" customHeight="1">
      <c r="A116" s="77" t="str">
        <f t="shared" si="1"/>
        <v>1080</v>
      </c>
      <c r="B116" s="95" t="str">
        <f>Sheet1!B152</f>
        <v/>
      </c>
      <c r="C116" s="95" t="str">
        <f>Sheet1!C152</f>
        <v/>
      </c>
      <c r="D116" s="95" t="str">
        <f>Sheet1!$C$1</f>
        <v>Enter School Name Here</v>
      </c>
      <c r="E116" s="95"/>
      <c r="F116" s="77">
        <f t="shared" si="2"/>
        <v>0</v>
      </c>
      <c r="G116" s="96">
        <f t="shared" si="3"/>
        <v>108</v>
      </c>
    </row>
    <row r="117" ht="15.75" customHeight="1">
      <c r="A117" s="77" t="str">
        <f t="shared" si="1"/>
        <v>1090</v>
      </c>
      <c r="B117" s="95" t="str">
        <f>Sheet1!B153</f>
        <v/>
      </c>
      <c r="C117" s="95" t="str">
        <f>Sheet1!C153</f>
        <v/>
      </c>
      <c r="D117" s="95" t="str">
        <f>Sheet1!$C$1</f>
        <v>Enter School Name Here</v>
      </c>
      <c r="E117" s="95"/>
      <c r="F117" s="77">
        <f t="shared" si="2"/>
        <v>0</v>
      </c>
      <c r="G117" s="96">
        <f t="shared" si="3"/>
        <v>109</v>
      </c>
    </row>
    <row r="118" ht="15.75" customHeight="1">
      <c r="A118" s="77" t="str">
        <f t="shared" si="1"/>
        <v>1100</v>
      </c>
      <c r="B118" s="95" t="str">
        <f>Sheet1!B154</f>
        <v/>
      </c>
      <c r="C118" s="95" t="str">
        <f>Sheet1!C154</f>
        <v/>
      </c>
      <c r="D118" s="95" t="str">
        <f>Sheet1!$C$1</f>
        <v>Enter School Name Here</v>
      </c>
      <c r="E118" s="95"/>
      <c r="F118" s="77">
        <f t="shared" si="2"/>
        <v>0</v>
      </c>
      <c r="G118" s="96">
        <f t="shared" si="3"/>
        <v>110</v>
      </c>
    </row>
    <row r="119" ht="15.75" customHeight="1">
      <c r="A119" s="77" t="str">
        <f t="shared" si="1"/>
        <v>1110</v>
      </c>
      <c r="B119" s="95" t="str">
        <f>Sheet1!B155</f>
        <v/>
      </c>
      <c r="C119" s="95" t="str">
        <f>Sheet1!C155</f>
        <v/>
      </c>
      <c r="D119" s="95" t="str">
        <f>Sheet1!$C$1</f>
        <v>Enter School Name Here</v>
      </c>
      <c r="E119" s="95"/>
      <c r="F119" s="77">
        <f t="shared" si="2"/>
        <v>0</v>
      </c>
      <c r="G119" s="96">
        <f t="shared" si="3"/>
        <v>111</v>
      </c>
    </row>
    <row r="120" ht="15.75" customHeight="1">
      <c r="A120" s="77" t="str">
        <f t="shared" si="1"/>
        <v>1120</v>
      </c>
      <c r="B120" s="95" t="str">
        <f>Sheet1!B156</f>
        <v/>
      </c>
      <c r="C120" s="95" t="str">
        <f>Sheet1!C156</f>
        <v/>
      </c>
      <c r="D120" s="95" t="str">
        <f>Sheet1!$C$1</f>
        <v>Enter School Name Here</v>
      </c>
      <c r="E120" s="95"/>
      <c r="F120" s="77">
        <f t="shared" si="2"/>
        <v>0</v>
      </c>
      <c r="G120" s="96">
        <f t="shared" si="3"/>
        <v>112</v>
      </c>
    </row>
    <row r="121" ht="15.75" customHeight="1">
      <c r="A121" s="77" t="str">
        <f t="shared" si="1"/>
        <v>1130</v>
      </c>
      <c r="B121" s="95" t="str">
        <f>Sheet1!B157</f>
        <v/>
      </c>
      <c r="C121" s="95" t="str">
        <f>Sheet1!C157</f>
        <v/>
      </c>
      <c r="D121" s="95" t="str">
        <f>Sheet1!$C$1</f>
        <v>Enter School Name Here</v>
      </c>
      <c r="E121" s="95"/>
      <c r="F121" s="77">
        <f t="shared" si="2"/>
        <v>0</v>
      </c>
      <c r="G121" s="96">
        <f t="shared" si="3"/>
        <v>113</v>
      </c>
    </row>
    <row r="122" ht="15.75" customHeight="1">
      <c r="A122" s="77" t="str">
        <f t="shared" si="1"/>
        <v>1140</v>
      </c>
      <c r="B122" s="95" t="str">
        <f>Sheet1!B158</f>
        <v/>
      </c>
      <c r="C122" s="95" t="str">
        <f>Sheet1!C158</f>
        <v/>
      </c>
      <c r="D122" s="95" t="str">
        <f>Sheet1!$C$1</f>
        <v>Enter School Name Here</v>
      </c>
      <c r="E122" s="95"/>
      <c r="F122" s="77">
        <f t="shared" si="2"/>
        <v>0</v>
      </c>
      <c r="G122" s="96">
        <f t="shared" si="3"/>
        <v>114</v>
      </c>
    </row>
    <row r="123" ht="15.75" customHeight="1">
      <c r="A123" s="77" t="str">
        <f t="shared" si="1"/>
        <v>1150</v>
      </c>
      <c r="B123" s="95" t="str">
        <f>Sheet1!B159</f>
        <v/>
      </c>
      <c r="C123" s="95" t="str">
        <f>Sheet1!C159</f>
        <v/>
      </c>
      <c r="D123" s="95" t="str">
        <f>Sheet1!$C$1</f>
        <v>Enter School Name Here</v>
      </c>
      <c r="E123" s="95"/>
      <c r="F123" s="77">
        <f t="shared" si="2"/>
        <v>0</v>
      </c>
      <c r="G123" s="96">
        <f t="shared" si="3"/>
        <v>115</v>
      </c>
    </row>
    <row r="124" ht="15.75" customHeight="1">
      <c r="A124" s="77" t="str">
        <f t="shared" si="1"/>
        <v>1160</v>
      </c>
      <c r="B124" s="95" t="str">
        <f>Sheet1!B160</f>
        <v/>
      </c>
      <c r="C124" s="95" t="str">
        <f>Sheet1!C160</f>
        <v/>
      </c>
      <c r="D124" s="95" t="str">
        <f>Sheet1!$C$1</f>
        <v>Enter School Name Here</v>
      </c>
      <c r="E124" s="95"/>
      <c r="F124" s="77">
        <f t="shared" si="2"/>
        <v>0</v>
      </c>
      <c r="G124" s="96">
        <f t="shared" si="3"/>
        <v>116</v>
      </c>
    </row>
    <row r="125" ht="15.75" customHeight="1">
      <c r="A125" s="77" t="str">
        <f t="shared" si="1"/>
        <v>1170</v>
      </c>
      <c r="B125" s="95" t="str">
        <f>Sheet1!B161</f>
        <v/>
      </c>
      <c r="C125" s="95" t="str">
        <f>Sheet1!C161</f>
        <v/>
      </c>
      <c r="D125" s="95" t="str">
        <f>Sheet1!$C$1</f>
        <v>Enter School Name Here</v>
      </c>
      <c r="E125" s="95"/>
      <c r="F125" s="77">
        <f t="shared" si="2"/>
        <v>0</v>
      </c>
      <c r="G125" s="96">
        <f t="shared" si="3"/>
        <v>117</v>
      </c>
    </row>
    <row r="126" ht="15.75" customHeight="1">
      <c r="A126" s="77" t="str">
        <f t="shared" si="1"/>
        <v>1180</v>
      </c>
      <c r="B126" s="95" t="str">
        <f>Sheet1!B162</f>
        <v/>
      </c>
      <c r="C126" s="95" t="str">
        <f>Sheet1!C162</f>
        <v/>
      </c>
      <c r="D126" s="95" t="str">
        <f>Sheet1!$C$1</f>
        <v>Enter School Name Here</v>
      </c>
      <c r="E126" s="95"/>
      <c r="F126" s="77">
        <f t="shared" si="2"/>
        <v>0</v>
      </c>
      <c r="G126" s="96">
        <f t="shared" si="3"/>
        <v>118</v>
      </c>
    </row>
    <row r="127" ht="15.75" customHeight="1">
      <c r="A127" s="77" t="str">
        <f t="shared" si="1"/>
        <v>1190</v>
      </c>
      <c r="B127" s="95" t="str">
        <f>Sheet1!B163</f>
        <v/>
      </c>
      <c r="C127" s="95" t="str">
        <f>Sheet1!C163</f>
        <v/>
      </c>
      <c r="D127" s="95" t="str">
        <f>Sheet1!$C$1</f>
        <v>Enter School Name Here</v>
      </c>
      <c r="E127" s="95"/>
      <c r="F127" s="77">
        <f t="shared" si="2"/>
        <v>0</v>
      </c>
      <c r="G127" s="96">
        <f t="shared" si="3"/>
        <v>119</v>
      </c>
    </row>
    <row r="128" ht="15.75" customHeight="1">
      <c r="A128" s="77" t="str">
        <f t="shared" si="1"/>
        <v>1200</v>
      </c>
      <c r="B128" s="95" t="str">
        <f>Sheet1!B164</f>
        <v/>
      </c>
      <c r="C128" s="95" t="str">
        <f>Sheet1!C164</f>
        <v/>
      </c>
      <c r="D128" s="95" t="str">
        <f>Sheet1!$C$1</f>
        <v>Enter School Name Here</v>
      </c>
      <c r="E128" s="95"/>
      <c r="F128" s="77">
        <f t="shared" si="2"/>
        <v>0</v>
      </c>
      <c r="G128" s="96">
        <f t="shared" si="3"/>
        <v>120</v>
      </c>
    </row>
    <row r="129" ht="15.75" customHeight="1">
      <c r="A129" s="77" t="str">
        <f t="shared" si="1"/>
        <v>1210</v>
      </c>
      <c r="B129" s="95" t="str">
        <f>Sheet1!B165</f>
        <v/>
      </c>
      <c r="C129" s="95" t="str">
        <f>Sheet1!C165</f>
        <v/>
      </c>
      <c r="D129" s="95" t="str">
        <f>Sheet1!$C$1</f>
        <v>Enter School Name Here</v>
      </c>
      <c r="E129" s="95"/>
      <c r="F129" s="77">
        <f t="shared" si="2"/>
        <v>0</v>
      </c>
      <c r="G129" s="96">
        <f t="shared" si="3"/>
        <v>121</v>
      </c>
    </row>
    <row r="130" ht="15.75" customHeight="1">
      <c r="A130" s="77" t="str">
        <f t="shared" si="1"/>
        <v>1220</v>
      </c>
      <c r="B130" s="95" t="str">
        <f>Sheet1!B166</f>
        <v/>
      </c>
      <c r="C130" s="95" t="str">
        <f>Sheet1!C166</f>
        <v/>
      </c>
      <c r="D130" s="95" t="str">
        <f>Sheet1!$C$1</f>
        <v>Enter School Name Here</v>
      </c>
      <c r="E130" s="95"/>
      <c r="F130" s="77">
        <f t="shared" si="2"/>
        <v>0</v>
      </c>
      <c r="G130" s="96">
        <f t="shared" si="3"/>
        <v>122</v>
      </c>
    </row>
    <row r="131" ht="15.75" customHeight="1">
      <c r="A131" s="77" t="str">
        <f t="shared" si="1"/>
        <v>1230</v>
      </c>
      <c r="B131" s="95" t="str">
        <f>Sheet1!B167</f>
        <v/>
      </c>
      <c r="C131" s="95" t="str">
        <f>Sheet1!C167</f>
        <v/>
      </c>
      <c r="D131" s="95" t="str">
        <f>Sheet1!$C$1</f>
        <v>Enter School Name Here</v>
      </c>
      <c r="E131" s="95"/>
      <c r="F131" s="77">
        <f t="shared" si="2"/>
        <v>0</v>
      </c>
      <c r="G131" s="96">
        <f t="shared" si="3"/>
        <v>123</v>
      </c>
    </row>
    <row r="132" ht="15.75" customHeight="1">
      <c r="A132" s="77" t="str">
        <f t="shared" si="1"/>
        <v>1240</v>
      </c>
      <c r="B132" s="95" t="str">
        <f>Sheet1!B168</f>
        <v/>
      </c>
      <c r="C132" s="95" t="str">
        <f>Sheet1!C168</f>
        <v/>
      </c>
      <c r="D132" s="95" t="str">
        <f>Sheet1!$C$1</f>
        <v>Enter School Name Here</v>
      </c>
      <c r="E132" s="95"/>
      <c r="F132" s="77">
        <f t="shared" si="2"/>
        <v>0</v>
      </c>
      <c r="G132" s="96">
        <f t="shared" si="3"/>
        <v>124</v>
      </c>
    </row>
    <row r="133" ht="15.75" customHeight="1">
      <c r="A133" s="77" t="str">
        <f t="shared" si="1"/>
        <v>1250</v>
      </c>
      <c r="B133" s="95" t="str">
        <f>Sheet1!B169</f>
        <v/>
      </c>
      <c r="C133" s="95" t="str">
        <f>Sheet1!C169</f>
        <v/>
      </c>
      <c r="D133" s="95" t="str">
        <f>Sheet1!$C$1</f>
        <v>Enter School Name Here</v>
      </c>
      <c r="E133" s="95"/>
      <c r="F133" s="77">
        <f t="shared" si="2"/>
        <v>0</v>
      </c>
      <c r="G133" s="96">
        <f t="shared" si="3"/>
        <v>125</v>
      </c>
    </row>
    <row r="134" ht="15.75" customHeight="1">
      <c r="A134" s="77" t="str">
        <f t="shared" si="1"/>
        <v>1260</v>
      </c>
      <c r="B134" s="95" t="str">
        <f>Sheet1!B170</f>
        <v/>
      </c>
      <c r="C134" s="95" t="str">
        <f>Sheet1!C170</f>
        <v/>
      </c>
      <c r="D134" s="95" t="str">
        <f>Sheet1!$C$1</f>
        <v>Enter School Name Here</v>
      </c>
      <c r="E134" s="95"/>
      <c r="F134" s="77">
        <f t="shared" si="2"/>
        <v>0</v>
      </c>
      <c r="G134" s="96">
        <f t="shared" si="3"/>
        <v>126</v>
      </c>
    </row>
    <row r="135" ht="15.75" customHeight="1">
      <c r="A135" s="77" t="str">
        <f t="shared" si="1"/>
        <v>1270</v>
      </c>
      <c r="B135" s="95" t="str">
        <f>Sheet1!B171</f>
        <v/>
      </c>
      <c r="C135" s="95" t="str">
        <f>Sheet1!C171</f>
        <v/>
      </c>
      <c r="D135" s="95" t="str">
        <f>Sheet1!$C$1</f>
        <v>Enter School Name Here</v>
      </c>
      <c r="E135" s="95"/>
      <c r="F135" s="77">
        <f t="shared" si="2"/>
        <v>0</v>
      </c>
      <c r="G135" s="96">
        <f t="shared" si="3"/>
        <v>127</v>
      </c>
    </row>
    <row r="136" ht="15.75" customHeight="1">
      <c r="A136" s="77" t="str">
        <f t="shared" si="1"/>
        <v>1280</v>
      </c>
      <c r="B136" s="95" t="str">
        <f>Sheet1!B172</f>
        <v/>
      </c>
      <c r="C136" s="95" t="str">
        <f>Sheet1!C172</f>
        <v/>
      </c>
      <c r="D136" s="95" t="str">
        <f>Sheet1!$C$1</f>
        <v>Enter School Name Here</v>
      </c>
      <c r="E136" s="95"/>
      <c r="F136" s="77">
        <f t="shared" si="2"/>
        <v>0</v>
      </c>
      <c r="G136" s="96">
        <f t="shared" si="3"/>
        <v>128</v>
      </c>
    </row>
    <row r="137" ht="15.75" customHeight="1">
      <c r="A137" s="77" t="str">
        <f t="shared" si="1"/>
        <v>1290</v>
      </c>
      <c r="B137" s="95" t="str">
        <f>Sheet1!B173</f>
        <v/>
      </c>
      <c r="C137" s="95" t="str">
        <f>Sheet1!C173</f>
        <v/>
      </c>
      <c r="D137" s="95" t="str">
        <f>Sheet1!$C$1</f>
        <v>Enter School Name Here</v>
      </c>
      <c r="E137" s="95"/>
      <c r="F137" s="77">
        <f t="shared" si="2"/>
        <v>0</v>
      </c>
      <c r="G137" s="96">
        <f t="shared" si="3"/>
        <v>129</v>
      </c>
    </row>
    <row r="138" ht="15.75" customHeight="1">
      <c r="A138" s="77" t="str">
        <f t="shared" si="1"/>
        <v>1300</v>
      </c>
      <c r="B138" s="95" t="str">
        <f>Sheet1!B174</f>
        <v/>
      </c>
      <c r="C138" s="95" t="str">
        <f>Sheet1!C174</f>
        <v/>
      </c>
      <c r="D138" s="95" t="str">
        <f>Sheet1!$C$1</f>
        <v>Enter School Name Here</v>
      </c>
      <c r="E138" s="95"/>
      <c r="F138" s="77">
        <f t="shared" si="2"/>
        <v>0</v>
      </c>
      <c r="G138" s="96">
        <f t="shared" si="3"/>
        <v>130</v>
      </c>
    </row>
    <row r="139" ht="15.75" customHeight="1">
      <c r="A139" s="77" t="str">
        <f t="shared" si="1"/>
        <v>1310</v>
      </c>
      <c r="B139" s="95" t="str">
        <f>Sheet1!B175</f>
        <v/>
      </c>
      <c r="C139" s="95" t="str">
        <f>Sheet1!C175</f>
        <v/>
      </c>
      <c r="D139" s="95" t="str">
        <f>Sheet1!$C$1</f>
        <v>Enter School Name Here</v>
      </c>
      <c r="E139" s="95"/>
      <c r="F139" s="77">
        <f t="shared" si="2"/>
        <v>0</v>
      </c>
      <c r="G139" s="96">
        <f t="shared" si="3"/>
        <v>131</v>
      </c>
    </row>
    <row r="140" ht="15.75" customHeight="1">
      <c r="A140" s="77" t="str">
        <f t="shared" si="1"/>
        <v>1320</v>
      </c>
      <c r="B140" s="95" t="str">
        <f>Sheet1!B176</f>
        <v/>
      </c>
      <c r="C140" s="95" t="str">
        <f>Sheet1!C176</f>
        <v/>
      </c>
      <c r="D140" s="95" t="str">
        <f>Sheet1!$C$1</f>
        <v>Enter School Name Here</v>
      </c>
      <c r="E140" s="95"/>
      <c r="F140" s="77">
        <f t="shared" si="2"/>
        <v>0</v>
      </c>
      <c r="G140" s="96">
        <f t="shared" si="3"/>
        <v>132</v>
      </c>
    </row>
    <row r="141" ht="15.75" customHeight="1">
      <c r="A141" s="77" t="str">
        <f t="shared" si="1"/>
        <v>1330</v>
      </c>
      <c r="B141" s="95" t="str">
        <f>Sheet1!B177</f>
        <v/>
      </c>
      <c r="C141" s="95" t="str">
        <f>Sheet1!C177</f>
        <v/>
      </c>
      <c r="D141" s="95" t="str">
        <f>Sheet1!$C$1</f>
        <v>Enter School Name Here</v>
      </c>
      <c r="E141" s="95"/>
      <c r="F141" s="77">
        <f t="shared" si="2"/>
        <v>0</v>
      </c>
      <c r="G141" s="96">
        <f t="shared" si="3"/>
        <v>133</v>
      </c>
    </row>
    <row r="142" ht="15.75" customHeight="1">
      <c r="A142" s="77" t="str">
        <f t="shared" si="1"/>
        <v>1340</v>
      </c>
      <c r="B142" s="95" t="str">
        <f>Sheet1!B178</f>
        <v/>
      </c>
      <c r="C142" s="95" t="str">
        <f>Sheet1!C178</f>
        <v/>
      </c>
      <c r="D142" s="95" t="str">
        <f>Sheet1!$C$1</f>
        <v>Enter School Name Here</v>
      </c>
      <c r="E142" s="95"/>
      <c r="F142" s="77">
        <f t="shared" si="2"/>
        <v>0</v>
      </c>
      <c r="G142" s="96">
        <f t="shared" si="3"/>
        <v>134</v>
      </c>
    </row>
    <row r="143" ht="15.75" customHeight="1">
      <c r="A143" s="77" t="str">
        <f t="shared" si="1"/>
        <v>1350</v>
      </c>
      <c r="B143" s="95" t="str">
        <f>Sheet1!B179</f>
        <v/>
      </c>
      <c r="C143" s="95" t="str">
        <f>Sheet1!C179</f>
        <v/>
      </c>
      <c r="D143" s="95" t="str">
        <f>Sheet1!$C$1</f>
        <v>Enter School Name Here</v>
      </c>
      <c r="E143" s="95"/>
      <c r="F143" s="77">
        <f t="shared" si="2"/>
        <v>0</v>
      </c>
      <c r="G143" s="96">
        <f t="shared" si="3"/>
        <v>135</v>
      </c>
    </row>
    <row r="144" ht="15.75" customHeight="1">
      <c r="A144" s="77" t="str">
        <f t="shared" si="1"/>
        <v>1360</v>
      </c>
      <c r="B144" s="95" t="str">
        <f>Sheet1!B180</f>
        <v/>
      </c>
      <c r="C144" s="95" t="str">
        <f>Sheet1!C180</f>
        <v/>
      </c>
      <c r="D144" s="95" t="str">
        <f>Sheet1!$C$1</f>
        <v>Enter School Name Here</v>
      </c>
      <c r="E144" s="95"/>
      <c r="F144" s="77">
        <f t="shared" si="2"/>
        <v>0</v>
      </c>
      <c r="G144" s="96">
        <f t="shared" si="3"/>
        <v>136</v>
      </c>
    </row>
    <row r="145" ht="15.75" customHeight="1">
      <c r="A145" s="77" t="str">
        <f t="shared" si="1"/>
        <v>1370</v>
      </c>
      <c r="B145" s="95" t="str">
        <f>Sheet1!B181</f>
        <v/>
      </c>
      <c r="C145" s="95" t="str">
        <f>Sheet1!C181</f>
        <v/>
      </c>
      <c r="D145" s="95" t="str">
        <f>Sheet1!$C$1</f>
        <v>Enter School Name Here</v>
      </c>
      <c r="E145" s="95"/>
      <c r="F145" s="77">
        <f t="shared" si="2"/>
        <v>0</v>
      </c>
      <c r="G145" s="96">
        <f t="shared" si="3"/>
        <v>137</v>
      </c>
    </row>
    <row r="146" ht="15.75" customHeight="1">
      <c r="A146" s="77" t="str">
        <f t="shared" si="1"/>
        <v>1380</v>
      </c>
      <c r="B146" s="95" t="str">
        <f>Sheet1!B182</f>
        <v/>
      </c>
      <c r="C146" s="95" t="str">
        <f>Sheet1!C182</f>
        <v/>
      </c>
      <c r="D146" s="95" t="str">
        <f>Sheet1!$C$1</f>
        <v>Enter School Name Here</v>
      </c>
      <c r="E146" s="95"/>
      <c r="F146" s="77">
        <f t="shared" si="2"/>
        <v>0</v>
      </c>
      <c r="G146" s="96">
        <f t="shared" si="3"/>
        <v>138</v>
      </c>
    </row>
    <row r="147" ht="15.75" customHeight="1">
      <c r="A147" s="77" t="str">
        <f t="shared" si="1"/>
        <v>1390</v>
      </c>
      <c r="B147" s="95" t="str">
        <f>Sheet1!B183</f>
        <v/>
      </c>
      <c r="C147" s="95" t="str">
        <f>Sheet1!C183</f>
        <v/>
      </c>
      <c r="D147" s="95" t="str">
        <f>Sheet1!$C$1</f>
        <v>Enter School Name Here</v>
      </c>
      <c r="E147" s="95"/>
      <c r="F147" s="77">
        <f t="shared" si="2"/>
        <v>0</v>
      </c>
      <c r="G147" s="96">
        <f t="shared" si="3"/>
        <v>139</v>
      </c>
    </row>
    <row r="148" ht="15.75" customHeight="1">
      <c r="A148" s="77" t="str">
        <f t="shared" si="1"/>
        <v>1400</v>
      </c>
      <c r="B148" s="95" t="str">
        <f>Sheet1!B184</f>
        <v/>
      </c>
      <c r="C148" s="95" t="str">
        <f>Sheet1!C184</f>
        <v/>
      </c>
      <c r="D148" s="95" t="str">
        <f>Sheet1!$C$1</f>
        <v>Enter School Name Here</v>
      </c>
      <c r="E148" s="95"/>
      <c r="F148" s="77">
        <f t="shared" si="2"/>
        <v>0</v>
      </c>
      <c r="G148" s="96">
        <f t="shared" si="3"/>
        <v>140</v>
      </c>
    </row>
    <row r="149" ht="15.75" customHeight="1">
      <c r="A149" s="77" t="str">
        <f t="shared" si="1"/>
        <v>1410</v>
      </c>
      <c r="B149" s="95" t="str">
        <f>Sheet1!B185</f>
        <v/>
      </c>
      <c r="C149" s="95" t="str">
        <f>Sheet1!C185</f>
        <v/>
      </c>
      <c r="D149" s="95" t="str">
        <f>Sheet1!$C$1</f>
        <v>Enter School Name Here</v>
      </c>
      <c r="E149" s="95"/>
      <c r="F149" s="77">
        <f t="shared" si="2"/>
        <v>0</v>
      </c>
      <c r="G149" s="96">
        <f t="shared" si="3"/>
        <v>141</v>
      </c>
    </row>
    <row r="150" ht="15.75" customHeight="1">
      <c r="A150" s="77" t="str">
        <f t="shared" si="1"/>
        <v>1420</v>
      </c>
      <c r="B150" s="95" t="str">
        <f>Sheet1!B186</f>
        <v/>
      </c>
      <c r="C150" s="95" t="str">
        <f>Sheet1!C186</f>
        <v/>
      </c>
      <c r="D150" s="95" t="str">
        <f>Sheet1!$C$1</f>
        <v>Enter School Name Here</v>
      </c>
      <c r="E150" s="95"/>
      <c r="F150" s="77">
        <f t="shared" si="2"/>
        <v>0</v>
      </c>
      <c r="G150" s="96">
        <f t="shared" si="3"/>
        <v>142</v>
      </c>
    </row>
    <row r="151" ht="15.75" customHeight="1">
      <c r="A151" s="77" t="str">
        <f t="shared" si="1"/>
        <v>1430</v>
      </c>
      <c r="B151" s="95" t="str">
        <f>Sheet1!B187</f>
        <v/>
      </c>
      <c r="C151" s="95" t="str">
        <f>Sheet1!C187</f>
        <v/>
      </c>
      <c r="D151" s="95" t="str">
        <f>Sheet1!$C$1</f>
        <v>Enter School Name Here</v>
      </c>
      <c r="E151" s="95"/>
      <c r="F151" s="77">
        <f t="shared" si="2"/>
        <v>0</v>
      </c>
      <c r="G151" s="96">
        <f t="shared" si="3"/>
        <v>143</v>
      </c>
    </row>
    <row r="152" ht="15.75" customHeight="1">
      <c r="A152" s="77" t="str">
        <f t="shared" si="1"/>
        <v>1440</v>
      </c>
      <c r="B152" s="95" t="str">
        <f>Sheet1!B188</f>
        <v/>
      </c>
      <c r="C152" s="95" t="str">
        <f>Sheet1!C188</f>
        <v/>
      </c>
      <c r="D152" s="95" t="str">
        <f>Sheet1!$C$1</f>
        <v>Enter School Name Here</v>
      </c>
      <c r="E152" s="95"/>
      <c r="F152" s="77">
        <f t="shared" si="2"/>
        <v>0</v>
      </c>
      <c r="G152" s="96">
        <f t="shared" si="3"/>
        <v>144</v>
      </c>
    </row>
    <row r="153" ht="15.75" customHeight="1">
      <c r="A153" s="77" t="str">
        <f t="shared" si="1"/>
        <v>1450</v>
      </c>
      <c r="B153" s="95" t="str">
        <f>Sheet1!B189</f>
        <v/>
      </c>
      <c r="C153" s="95" t="str">
        <f>Sheet1!C189</f>
        <v/>
      </c>
      <c r="D153" s="95" t="str">
        <f>Sheet1!$C$1</f>
        <v>Enter School Name Here</v>
      </c>
      <c r="E153" s="95"/>
      <c r="F153" s="77">
        <f t="shared" si="2"/>
        <v>0</v>
      </c>
      <c r="G153" s="96">
        <f t="shared" si="3"/>
        <v>145</v>
      </c>
    </row>
    <row r="154" ht="15.75" customHeight="1">
      <c r="A154" s="77" t="str">
        <f t="shared" si="1"/>
        <v>1460</v>
      </c>
      <c r="B154" s="95" t="str">
        <f>Sheet1!B190</f>
        <v/>
      </c>
      <c r="C154" s="95" t="str">
        <f>Sheet1!C190</f>
        <v/>
      </c>
      <c r="D154" s="95" t="str">
        <f>Sheet1!$C$1</f>
        <v>Enter School Name Here</v>
      </c>
      <c r="E154" s="95"/>
      <c r="F154" s="77">
        <f t="shared" si="2"/>
        <v>0</v>
      </c>
      <c r="G154" s="96">
        <f t="shared" si="3"/>
        <v>146</v>
      </c>
    </row>
    <row r="155" ht="15.75" customHeight="1">
      <c r="A155" s="77" t="str">
        <f t="shared" si="1"/>
        <v>1470</v>
      </c>
      <c r="B155" s="95" t="str">
        <f>Sheet1!B191</f>
        <v/>
      </c>
      <c r="C155" s="95" t="str">
        <f>Sheet1!C191</f>
        <v/>
      </c>
      <c r="D155" s="95" t="str">
        <f>Sheet1!$C$1</f>
        <v>Enter School Name Here</v>
      </c>
      <c r="E155" s="95"/>
      <c r="F155" s="77">
        <f t="shared" si="2"/>
        <v>0</v>
      </c>
      <c r="G155" s="96">
        <f t="shared" si="3"/>
        <v>147</v>
      </c>
    </row>
    <row r="156" ht="15.75" customHeight="1">
      <c r="A156" s="77" t="str">
        <f t="shared" si="1"/>
        <v>1480</v>
      </c>
      <c r="B156" s="95" t="str">
        <f>Sheet1!B192</f>
        <v/>
      </c>
      <c r="C156" s="95" t="str">
        <f>Sheet1!C192</f>
        <v/>
      </c>
      <c r="D156" s="95" t="str">
        <f>Sheet1!$C$1</f>
        <v>Enter School Name Here</v>
      </c>
      <c r="E156" s="95"/>
      <c r="F156" s="77">
        <f t="shared" si="2"/>
        <v>0</v>
      </c>
      <c r="G156" s="96">
        <f t="shared" si="3"/>
        <v>148</v>
      </c>
    </row>
    <row r="157" ht="15.75" customHeight="1">
      <c r="A157" s="77" t="str">
        <f t="shared" si="1"/>
        <v>1490</v>
      </c>
      <c r="B157" s="95" t="str">
        <f>Sheet1!B193</f>
        <v/>
      </c>
      <c r="C157" s="95" t="str">
        <f>Sheet1!C193</f>
        <v/>
      </c>
      <c r="D157" s="95" t="str">
        <f>Sheet1!$C$1</f>
        <v>Enter School Name Here</v>
      </c>
      <c r="E157" s="95"/>
      <c r="F157" s="77">
        <f t="shared" si="2"/>
        <v>0</v>
      </c>
      <c r="G157" s="96">
        <f t="shared" si="3"/>
        <v>149</v>
      </c>
    </row>
    <row r="158" ht="15.75" customHeight="1">
      <c r="A158" s="77" t="str">
        <f t="shared" si="1"/>
        <v>1500</v>
      </c>
      <c r="B158" s="95" t="str">
        <f>Sheet1!B194</f>
        <v/>
      </c>
      <c r="C158" s="95" t="str">
        <f>Sheet1!C194</f>
        <v/>
      </c>
      <c r="D158" s="95" t="str">
        <f>Sheet1!$C$1</f>
        <v>Enter School Name Here</v>
      </c>
      <c r="E158" s="95"/>
      <c r="F158" s="77">
        <f t="shared" si="2"/>
        <v>0</v>
      </c>
      <c r="G158" s="96">
        <f t="shared" si="3"/>
        <v>150</v>
      </c>
    </row>
    <row r="159" ht="15.75" customHeight="1">
      <c r="A159" s="77" t="str">
        <f t="shared" si="1"/>
        <v>1510</v>
      </c>
      <c r="B159" s="95" t="str">
        <f>Sheet1!B195</f>
        <v/>
      </c>
      <c r="C159" s="95" t="str">
        <f>Sheet1!C195</f>
        <v/>
      </c>
      <c r="D159" s="95" t="str">
        <f>Sheet1!$C$1</f>
        <v>Enter School Name Here</v>
      </c>
      <c r="E159" s="95"/>
      <c r="F159" s="77">
        <f t="shared" si="2"/>
        <v>0</v>
      </c>
      <c r="G159" s="96">
        <f t="shared" si="3"/>
        <v>151</v>
      </c>
    </row>
    <row r="160" ht="15.75" customHeight="1">
      <c r="A160" s="77" t="str">
        <f t="shared" si="1"/>
        <v>1520</v>
      </c>
      <c r="B160" s="95" t="str">
        <f>Sheet1!B196</f>
        <v/>
      </c>
      <c r="C160" s="95" t="str">
        <f>Sheet1!C196</f>
        <v/>
      </c>
      <c r="D160" s="95" t="str">
        <f>Sheet1!$C$1</f>
        <v>Enter School Name Here</v>
      </c>
      <c r="E160" s="95"/>
      <c r="F160" s="77">
        <f t="shared" si="2"/>
        <v>0</v>
      </c>
      <c r="G160" s="96">
        <f t="shared" si="3"/>
        <v>152</v>
      </c>
    </row>
    <row r="161" ht="15.75" customHeight="1">
      <c r="A161" s="77" t="str">
        <f t="shared" si="1"/>
        <v>1530</v>
      </c>
      <c r="B161" s="95" t="str">
        <f>Sheet1!B197</f>
        <v/>
      </c>
      <c r="C161" s="95" t="str">
        <f>Sheet1!C197</f>
        <v/>
      </c>
      <c r="D161" s="95" t="str">
        <f>Sheet1!$C$1</f>
        <v>Enter School Name Here</v>
      </c>
      <c r="E161" s="95"/>
      <c r="F161" s="77">
        <f t="shared" si="2"/>
        <v>0</v>
      </c>
      <c r="G161" s="96">
        <f t="shared" si="3"/>
        <v>153</v>
      </c>
    </row>
    <row r="162" ht="15.75" customHeight="1">
      <c r="A162" s="77" t="str">
        <f t="shared" si="1"/>
        <v>1540</v>
      </c>
      <c r="B162" s="95" t="str">
        <f>Sheet1!B198</f>
        <v/>
      </c>
      <c r="C162" s="95" t="str">
        <f>Sheet1!C198</f>
        <v/>
      </c>
      <c r="D162" s="95" t="str">
        <f>Sheet1!$C$1</f>
        <v>Enter School Name Here</v>
      </c>
      <c r="E162" s="95"/>
      <c r="F162" s="77">
        <f t="shared" si="2"/>
        <v>0</v>
      </c>
      <c r="G162" s="96">
        <f t="shared" si="3"/>
        <v>154</v>
      </c>
    </row>
    <row r="163" ht="15.75" customHeight="1">
      <c r="A163" s="77" t="str">
        <f t="shared" si="1"/>
        <v>1550</v>
      </c>
      <c r="B163" s="95" t="str">
        <f>Sheet1!B199</f>
        <v/>
      </c>
      <c r="C163" s="95" t="str">
        <f>Sheet1!C199</f>
        <v/>
      </c>
      <c r="D163" s="95" t="str">
        <f>Sheet1!$C$1</f>
        <v>Enter School Name Here</v>
      </c>
      <c r="E163" s="95"/>
      <c r="F163" s="77">
        <f t="shared" si="2"/>
        <v>0</v>
      </c>
      <c r="G163" s="96">
        <f t="shared" si="3"/>
        <v>155</v>
      </c>
    </row>
    <row r="164" ht="15.75" customHeight="1">
      <c r="A164" s="77" t="str">
        <f t="shared" si="1"/>
        <v>1560</v>
      </c>
      <c r="B164" s="95" t="str">
        <f>Sheet1!B200</f>
        <v/>
      </c>
      <c r="C164" s="95" t="str">
        <f>Sheet1!C200</f>
        <v/>
      </c>
      <c r="D164" s="95" t="str">
        <f>Sheet1!$C$1</f>
        <v>Enter School Name Here</v>
      </c>
      <c r="E164" s="95"/>
      <c r="F164" s="77">
        <f t="shared" si="2"/>
        <v>0</v>
      </c>
      <c r="G164" s="96">
        <f t="shared" si="3"/>
        <v>156</v>
      </c>
    </row>
    <row r="165" ht="15.75" customHeight="1">
      <c r="A165" s="77" t="str">
        <f t="shared" si="1"/>
        <v>1570</v>
      </c>
      <c r="B165" s="95" t="str">
        <f>Sheet1!B201</f>
        <v/>
      </c>
      <c r="C165" s="95" t="str">
        <f>Sheet1!C201</f>
        <v/>
      </c>
      <c r="D165" s="95" t="str">
        <f>Sheet1!$C$1</f>
        <v>Enter School Name Here</v>
      </c>
      <c r="E165" s="95"/>
      <c r="F165" s="77">
        <f t="shared" si="2"/>
        <v>0</v>
      </c>
      <c r="G165" s="96">
        <f t="shared" si="3"/>
        <v>157</v>
      </c>
    </row>
    <row r="166" ht="15.75" customHeight="1">
      <c r="A166" s="77" t="str">
        <f t="shared" si="1"/>
        <v>1580</v>
      </c>
      <c r="B166" s="95" t="str">
        <f>Sheet1!B202</f>
        <v/>
      </c>
      <c r="C166" s="95" t="str">
        <f>Sheet1!C202</f>
        <v/>
      </c>
      <c r="D166" s="95" t="str">
        <f>Sheet1!$C$1</f>
        <v>Enter School Name Here</v>
      </c>
      <c r="E166" s="95"/>
      <c r="F166" s="77">
        <f t="shared" si="2"/>
        <v>0</v>
      </c>
      <c r="G166" s="96">
        <f t="shared" si="3"/>
        <v>158</v>
      </c>
    </row>
    <row r="167" ht="15.75" customHeight="1">
      <c r="A167" s="77" t="str">
        <f t="shared" si="1"/>
        <v>1590</v>
      </c>
      <c r="B167" s="95" t="str">
        <f>Sheet1!B203</f>
        <v/>
      </c>
      <c r="C167" s="95" t="str">
        <f>Sheet1!C203</f>
        <v/>
      </c>
      <c r="D167" s="95" t="str">
        <f>Sheet1!$C$1</f>
        <v>Enter School Name Here</v>
      </c>
      <c r="E167" s="95"/>
      <c r="F167" s="77">
        <f t="shared" si="2"/>
        <v>0</v>
      </c>
      <c r="G167" s="96">
        <f t="shared" si="3"/>
        <v>159</v>
      </c>
    </row>
    <row r="168" ht="15.75" customHeight="1">
      <c r="A168" s="77" t="str">
        <f t="shared" si="1"/>
        <v>1600</v>
      </c>
      <c r="B168" s="95" t="str">
        <f>Sheet1!B204</f>
        <v/>
      </c>
      <c r="C168" s="95" t="str">
        <f>Sheet1!C204</f>
        <v/>
      </c>
      <c r="D168" s="95" t="str">
        <f>Sheet1!$C$1</f>
        <v>Enter School Name Here</v>
      </c>
      <c r="E168" s="95"/>
      <c r="F168" s="77">
        <f t="shared" si="2"/>
        <v>0</v>
      </c>
      <c r="G168" s="96">
        <f t="shared" si="3"/>
        <v>160</v>
      </c>
    </row>
    <row r="169" ht="15.75" customHeight="1">
      <c r="A169" s="77" t="str">
        <f t="shared" si="1"/>
        <v>1610</v>
      </c>
      <c r="B169" s="95" t="str">
        <f>Sheet1!B205</f>
        <v/>
      </c>
      <c r="C169" s="95" t="str">
        <f>Sheet1!C205</f>
        <v/>
      </c>
      <c r="D169" s="95" t="str">
        <f>Sheet1!$C$1</f>
        <v>Enter School Name Here</v>
      </c>
      <c r="E169" s="95"/>
      <c r="F169" s="77">
        <f t="shared" si="2"/>
        <v>0</v>
      </c>
      <c r="G169" s="96">
        <f t="shared" si="3"/>
        <v>161</v>
      </c>
    </row>
    <row r="170" ht="15.75" customHeight="1">
      <c r="A170" s="77" t="str">
        <f t="shared" si="1"/>
        <v>1620</v>
      </c>
      <c r="B170" s="95" t="str">
        <f>Sheet1!B206</f>
        <v/>
      </c>
      <c r="C170" s="95" t="str">
        <f>Sheet1!C206</f>
        <v/>
      </c>
      <c r="D170" s="95" t="str">
        <f>Sheet1!$C$1</f>
        <v>Enter School Name Here</v>
      </c>
      <c r="E170" s="95"/>
      <c r="F170" s="77">
        <f t="shared" si="2"/>
        <v>0</v>
      </c>
      <c r="G170" s="96">
        <f t="shared" si="3"/>
        <v>162</v>
      </c>
    </row>
    <row r="171" ht="15.75" customHeight="1">
      <c r="A171" s="77" t="str">
        <f t="shared" si="1"/>
        <v>1630</v>
      </c>
      <c r="B171" s="95" t="str">
        <f>Sheet1!B207</f>
        <v/>
      </c>
      <c r="C171" s="95" t="str">
        <f>Sheet1!C207</f>
        <v/>
      </c>
      <c r="D171" s="95" t="str">
        <f>Sheet1!$C$1</f>
        <v>Enter School Name Here</v>
      </c>
      <c r="E171" s="95"/>
      <c r="F171" s="77">
        <f t="shared" si="2"/>
        <v>0</v>
      </c>
      <c r="G171" s="96">
        <f t="shared" si="3"/>
        <v>163</v>
      </c>
    </row>
    <row r="172" ht="15.75" customHeight="1">
      <c r="A172" s="77" t="str">
        <f t="shared" si="1"/>
        <v>1640</v>
      </c>
      <c r="B172" s="95" t="str">
        <f>Sheet1!B208</f>
        <v/>
      </c>
      <c r="C172" s="95" t="str">
        <f>Sheet1!C208</f>
        <v/>
      </c>
      <c r="D172" s="95" t="str">
        <f>Sheet1!$C$1</f>
        <v>Enter School Name Here</v>
      </c>
      <c r="E172" s="95"/>
      <c r="F172" s="77">
        <f t="shared" si="2"/>
        <v>0</v>
      </c>
      <c r="G172" s="96">
        <f t="shared" si="3"/>
        <v>164</v>
      </c>
    </row>
    <row r="173" ht="15.75" customHeight="1">
      <c r="A173" s="77" t="str">
        <f t="shared" si="1"/>
        <v>1650</v>
      </c>
      <c r="B173" s="95" t="str">
        <f>Sheet1!B209</f>
        <v/>
      </c>
      <c r="C173" s="95" t="str">
        <f>Sheet1!C209</f>
        <v/>
      </c>
      <c r="D173" s="95" t="str">
        <f>Sheet1!$C$1</f>
        <v>Enter School Name Here</v>
      </c>
      <c r="E173" s="95"/>
      <c r="F173" s="77">
        <f t="shared" si="2"/>
        <v>0</v>
      </c>
      <c r="G173" s="96">
        <f t="shared" si="3"/>
        <v>165</v>
      </c>
    </row>
    <row r="174" ht="15.75" customHeight="1">
      <c r="A174" s="77" t="str">
        <f t="shared" si="1"/>
        <v>1660</v>
      </c>
      <c r="B174" s="95" t="str">
        <f>Sheet1!B210</f>
        <v/>
      </c>
      <c r="C174" s="95" t="str">
        <f>Sheet1!C210</f>
        <v/>
      </c>
      <c r="D174" s="95" t="str">
        <f>Sheet1!$C$1</f>
        <v>Enter School Name Here</v>
      </c>
      <c r="E174" s="95"/>
      <c r="F174" s="77">
        <f t="shared" si="2"/>
        <v>0</v>
      </c>
      <c r="G174" s="96">
        <f t="shared" si="3"/>
        <v>166</v>
      </c>
    </row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8">
    <mergeCell ref="I7:J7"/>
    <mergeCell ref="I8:K8"/>
    <mergeCell ref="I9:K9"/>
    <mergeCell ref="I10:K10"/>
    <mergeCell ref="I11:K11"/>
    <mergeCell ref="I12:K12"/>
    <mergeCell ref="I13:K13"/>
    <mergeCell ref="I14:K14"/>
    <mergeCell ref="I15:K15"/>
    <mergeCell ref="I16:K16"/>
    <mergeCell ref="I17:K17"/>
    <mergeCell ref="I18:K18"/>
    <mergeCell ref="I19:K19"/>
    <mergeCell ref="I20:K20"/>
    <mergeCell ref="I21:K21"/>
    <mergeCell ref="I22:K22"/>
    <mergeCell ref="I23:K23"/>
    <mergeCell ref="I24:K24"/>
    <mergeCell ref="I25:K25"/>
    <mergeCell ref="I26:K26"/>
    <mergeCell ref="I27:K27"/>
    <mergeCell ref="I28:K28"/>
    <mergeCell ref="I29:K29"/>
    <mergeCell ref="I30:K30"/>
    <mergeCell ref="I32:K32"/>
    <mergeCell ref="I33:K33"/>
    <mergeCell ref="I34:K34"/>
    <mergeCell ref="I35:K35"/>
    <mergeCell ref="I36:K36"/>
    <mergeCell ref="I37:K37"/>
    <mergeCell ref="I38:K38"/>
    <mergeCell ref="I40:K40"/>
    <mergeCell ref="I41:K41"/>
    <mergeCell ref="I42:K42"/>
    <mergeCell ref="I43:K43"/>
    <mergeCell ref="I51:K51"/>
    <mergeCell ref="I52:K52"/>
    <mergeCell ref="I53:K53"/>
    <mergeCell ref="I54:K54"/>
    <mergeCell ref="I55:K55"/>
    <mergeCell ref="I56:K56"/>
    <mergeCell ref="I44:K44"/>
    <mergeCell ref="I45:K45"/>
    <mergeCell ref="I46:K46"/>
    <mergeCell ref="I47:K47"/>
    <mergeCell ref="I48:K48"/>
    <mergeCell ref="I49:K49"/>
    <mergeCell ref="I50:K50"/>
  </mergeCells>
  <printOptions/>
  <pageMargins bottom="0.75" footer="0.0" header="0.0" left="0.7" right="0.7" top="0.75"/>
  <pageSetup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2018-10-18T12:41:05Z</dcterms:created>
  <dc:creator>Friedlander, Steve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0x01010050352A1D95FB884F97329000237CB6EB</vt:lpwstr>
  </property>
</Properties>
</file>